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chmark Bogotá" sheetId="1" r:id="rId5"/>
    <sheet state="visible" name="Matriz Scoring" sheetId="2" r:id="rId6"/>
    <sheet state="visible" name="Pauta x Producto" sheetId="3" r:id="rId7"/>
    <sheet state="visible" name="Términos de Búsqueda" sheetId="4" r:id="rId8"/>
    <sheet state="visible" name="Árbol de Producto" sheetId="5" r:id="rId9"/>
  </sheets>
  <definedNames/>
  <calcPr/>
</workbook>
</file>

<file path=xl/sharedStrings.xml><?xml version="1.0" encoding="utf-8"?>
<sst xmlns="http://schemas.openxmlformats.org/spreadsheetml/2006/main" count="413" uniqueCount="287">
  <si>
    <t>TÉRMINOS DE BÚSQUEDA</t>
  </si>
  <si>
    <t>BENCHMARK</t>
  </si>
  <si>
    <t>ESTUDIO DE PAUTA POR PRODUCTO — COSTO DE ADQUISICIÓN (CAC)  ·  3 ORILLAS</t>
  </si>
  <si>
    <t>1. ECONOMÍA POR SERVICIO</t>
  </si>
  <si>
    <t>MATRIZ DE SCORING DE PRODUCTO Y PRIORIZACIÓN</t>
  </si>
  <si>
    <t>Servicio</t>
  </si>
  <si>
    <t>Precio min
(COP)</t>
  </si>
  <si>
    <t>Precio típico
(COP)</t>
  </si>
  <si>
    <t>Precio max
(COP)</t>
  </si>
  <si>
    <t>COGS insumo
estimado</t>
  </si>
  <si>
    <t>Margen bruto
estimado</t>
  </si>
  <si>
    <t>Recurrencia
(frecuencia)</t>
  </si>
  <si>
    <t>Tipo de demanda</t>
  </si>
  <si>
    <t>Toxina botulínica (botox)</t>
  </si>
  <si>
    <t>Σ pesos
(=100%)</t>
  </si>
  <si>
    <t>Presupuesto mensual de pauta (COP):</t>
  </si>
  <si>
    <t>PESOS</t>
  </si>
  <si>
    <t>15-25%</t>
  </si>
  <si>
    <t>Término de búsqueda</t>
  </si>
  <si>
    <t>Búsquedas/mes
(real)</t>
  </si>
  <si>
    <t>Competencia</t>
  </si>
  <si>
    <t>CPC puja tope
(COP, bajo-alto)</t>
  </si>
  <si>
    <t>Intención / nota</t>
  </si>
  <si>
    <t>70-80%</t>
  </si>
  <si>
    <t>Alta · cada 4-5 meses</t>
  </si>
  <si>
    <t>Existente / marca fuerte</t>
  </si>
  <si>
    <t>Ácido hialurónico — volumen (labios, ojeras, armonización)</t>
  </si>
  <si>
    <t>20-30%</t>
  </si>
  <si>
    <t>65-75%</t>
  </si>
  <si>
    <t>Media · 8-18 meses</t>
  </si>
  <si>
    <t>Ácido hialurónico — hidratación (skinboosters, NCTF)</t>
  </si>
  <si>
    <t>Botox</t>
  </si>
  <si>
    <t>30-40%</t>
  </si>
  <si>
    <t>55-70%</t>
  </si>
  <si>
    <t>Media-alta · protocolo 3 + mant.</t>
  </si>
  <si>
    <t>En crecimiento (prejuvenation)</t>
  </si>
  <si>
    <t>Microagujas (+ exosomas / NCTF)</t>
  </si>
  <si>
    <t>25-35%</t>
  </si>
  <si>
    <t>Alta · serie 3-6 + mant.</t>
  </si>
  <si>
    <t>Media</t>
  </si>
  <si>
    <t>Peelings químicos</t>
  </si>
  <si>
    <t>10-20%</t>
  </si>
  <si>
    <t>78-85%</t>
  </si>
  <si>
    <t>Alta · serie + mant.</t>
  </si>
  <si>
    <t>Media-alta</t>
  </si>
  <si>
    <t>Bioestimuladores (Sculptra, Radiesse, Profhilo, Harmonyca)</t>
  </si>
  <si>
    <t>35-45%</t>
  </si>
  <si>
    <t>55-65%</t>
  </si>
  <si>
    <t>Baja · protocolo, dura ~2 años</t>
  </si>
  <si>
    <t>En crecimiento / latente</t>
  </si>
  <si>
    <t>Enzimas recombinantes (corporal)</t>
  </si>
  <si>
    <t>Media · protocolo serie</t>
  </si>
  <si>
    <t>Latente / nicho</t>
  </si>
  <si>
    <t>2. PANORAMA DE PAUTA — BOGOTÁ / COLOMBIA (referencia 2025-2026)</t>
  </si>
  <si>
    <t>Plataforma</t>
  </si>
  <si>
    <t>CPM típico
(COP)</t>
  </si>
  <si>
    <t>CPC típico
(COP)</t>
  </si>
  <si>
    <t>Costo x lead
estimado (COP)</t>
  </si>
  <si>
    <t>Intención
usuario</t>
  </si>
  <si>
    <t>Mejor rol en el funnel</t>
  </si>
  <si>
    <t>Presup. mín.
útil / mes</t>
  </si>
  <si>
    <t>Nota</t>
  </si>
  <si>
    <t>Google Ads (búsqueda)</t>
  </si>
  <si>
    <t>—</t>
  </si>
  <si>
    <t>800 - 3.500</t>
  </si>
  <si>
    <t>50.000 - 150.000</t>
  </si>
  <si>
    <t>Alta (captura)</t>
  </si>
  <si>
    <t>Capturar demanda que YA existe: 'precio botox bogotá', 'relleno labios precio'</t>
  </si>
  <si>
    <t>← edítalo (escenario ppto reducido)</t>
  </si>
  <si>
    <t>$300k - $500k</t>
  </si>
  <si>
    <t>CVR salud ~8%. Clic caro pero convierte.</t>
  </si>
  <si>
    <t>Meta (IG/FB)</t>
  </si>
  <si>
    <t>6.000 - 15.000</t>
  </si>
  <si>
    <t>250 - 1.500</t>
  </si>
  <si>
    <t>8.000 - 25.000</t>
  </si>
  <si>
    <t>Media (interrumpe)</t>
  </si>
  <si>
    <t>Generar demanda + retargeting + antes/después. Audiencia 30+</t>
  </si>
  <si>
    <t>$600k</t>
  </si>
  <si>
    <t>CPM subiendo 18-25% interanual.</t>
  </si>
  <si>
    <t>TikTok</t>
  </si>
  <si>
    <t>1.500 - 4.000</t>
  </si>
  <si>
    <t>200 - 1.200</t>
  </si>
  <si>
    <t>Variable (frío)</t>
  </si>
  <si>
    <t>Baja (entretenim.)</t>
  </si>
  <si>
    <t>Top-funnel / marca / prejuvenation. Audiencia &lt;35, video nativo</t>
  </si>
  <si>
    <t>$1.5M</t>
  </si>
  <si>
    <t>CPM 30-40% &lt; Meta pero exige video constante.</t>
  </si>
  <si>
    <t>botox</t>
  </si>
  <si>
    <t>Estrategia</t>
  </si>
  <si>
    <t>Volumen
búsqueda</t>
  </si>
  <si>
    <t>Canal
principal</t>
  </si>
  <si>
    <t>CPC est.
(COP)</t>
  </si>
  <si>
    <t>Conv.
landing→lead</t>
  </si>
  <si>
    <t>CPL est.
(COP)</t>
  </si>
  <si>
    <t>Cierre
lead→pac.</t>
  </si>
  <si>
    <t>CAC est.
(COP)</t>
  </si>
  <si>
    <t>Ticket
(COP)</t>
  </si>
  <si>
    <t>Util. bruta
/sesión</t>
  </si>
  <si>
    <t>Baja</t>
  </si>
  <si>
    <t>LTV bruto
24m</t>
  </si>
  <si>
    <t>CAC %
ticket</t>
  </si>
  <si>
    <t>LTV : CAC</t>
  </si>
  <si>
    <t>Payback
(sesiones)</t>
  </si>
  <si>
    <t>Pacientes/
mes (ppto)</t>
  </si>
  <si>
    <t>Eficiencia
(1-5)</t>
  </si>
  <si>
    <t>$1,000 - $1,500</t>
  </si>
  <si>
    <t>Captura</t>
  </si>
  <si>
    <t>Cabeza de categoría, intención de tratamiento, competencia BAJA ★</t>
  </si>
  <si>
    <t>Alto</t>
  </si>
  <si>
    <t>Google + Meta RT</t>
  </si>
  <si>
    <t>Ticket prom.
(COP)</t>
  </si>
  <si>
    <t>toxina botulínica</t>
  </si>
  <si>
    <t>Margen
bruto %</t>
  </si>
  <si>
    <t>Utilidad bruta
/sesión (COP)</t>
  </si>
  <si>
    <t>Compras
esperadas 24m</t>
  </si>
  <si>
    <t>LTV bruto
24m (COP)</t>
  </si>
  <si>
    <t>Ciclo cierre
(días)</t>
  </si>
  <si>
    <t>$967 - $3,811</t>
  </si>
  <si>
    <t>Demanda /
intención</t>
  </si>
  <si>
    <t>Eficiencia captación
(LTV:CAC · link)</t>
  </si>
  <si>
    <t>Ticket
promedio</t>
  </si>
  <si>
    <t>Margen
bruto</t>
  </si>
  <si>
    <t>Recurrencia /
frecuencia</t>
  </si>
  <si>
    <t>botox precio</t>
  </si>
  <si>
    <t>LTV
(24m)</t>
  </si>
  <si>
    <t>Ciclo cierre
(corto=mejor)</t>
  </si>
  <si>
    <t>Throughput /
capacidad</t>
  </si>
  <si>
    <t>Baja necesidad
educación</t>
  </si>
  <si>
    <t>Puntaje
ponderado</t>
  </si>
  <si>
    <t>Rank</t>
  </si>
  <si>
    <t>toxina botulínica precio</t>
  </si>
  <si>
    <t>$709 - $1,906</t>
  </si>
  <si>
    <t>botox para cara</t>
  </si>
  <si>
    <t>botox precio bogotá</t>
  </si>
  <si>
    <t>Pocos escriben 'bogotá' explícito</t>
  </si>
  <si>
    <t>cuánto cuesta el botox</t>
  </si>
  <si>
    <t>Ác. hial. volumen</t>
  </si>
  <si>
    <t>ácido hialurónico</t>
  </si>
  <si>
    <t>Alta</t>
  </si>
  <si>
    <t>$521 - $2,196</t>
  </si>
  <si>
    <t>CONTAMINADO: mayormente CREMAS (Vichy, L'Oréal, The Ordinary)</t>
  </si>
  <si>
    <t>para que sirve el ácido hialurónico</t>
  </si>
  <si>
    <t>Ác. hialurónico — volumen (labios/armonización)</t>
  </si>
  <si>
    <t>$215 - $721</t>
  </si>
  <si>
    <t>Informacional, no compra</t>
  </si>
  <si>
    <t>Google + Meta</t>
  </si>
  <si>
    <t>ácido hialurónico precio</t>
  </si>
  <si>
    <t>$578 - $1,503</t>
  </si>
  <si>
    <t>ácido hialurónico inyectable</t>
  </si>
  <si>
    <t>$677 - $2,209</t>
  </si>
  <si>
    <t>Intención de tratamiento real</t>
  </si>
  <si>
    <t>armonización facial</t>
  </si>
  <si>
    <t>$642 - $1,832</t>
  </si>
  <si>
    <t>↑900% interanual: la tendencia que sube</t>
  </si>
  <si>
    <t>relleno de labios</t>
  </si>
  <si>
    <t>$1,127 - $3,818</t>
  </si>
  <si>
    <t>Volumen bajo, CPC alto</t>
  </si>
  <si>
    <t>Ác. hialurónico — hidratación (skinboosters/NCTF)</t>
  </si>
  <si>
    <t>aumento de labios</t>
  </si>
  <si>
    <t>$1,279 - $3,482</t>
  </si>
  <si>
    <t>relleno de ojeras</t>
  </si>
  <si>
    <t>$1,965 - $5,790</t>
  </si>
  <si>
    <t>CPC más alto del estudio (clic muy valioso)</t>
  </si>
  <si>
    <t>ácido hialurónico labios</t>
  </si>
  <si>
    <t>$839 - $2,674</t>
  </si>
  <si>
    <t>Mixta</t>
  </si>
  <si>
    <t>Medio</t>
  </si>
  <si>
    <t>Meta + Google</t>
  </si>
  <si>
    <t>Bioestimuladores</t>
  </si>
  <si>
    <t>radiesse</t>
  </si>
  <si>
    <t>$605 - $1,629</t>
  </si>
  <si>
    <t>Demanda de marca alta + competencia BAJA</t>
  </si>
  <si>
    <t>sculptra</t>
  </si>
  <si>
    <t>$811 - $3,286</t>
  </si>
  <si>
    <t>Igual que Radiesse: gran oportunidad de captura</t>
  </si>
  <si>
    <t>bioestimuladores</t>
  </si>
  <si>
    <t>$642 - $1,843</t>
  </si>
  <si>
    <t>radiesse precio</t>
  </si>
  <si>
    <t>$696 - $1,883</t>
  </si>
  <si>
    <t>sculptra precio</t>
  </si>
  <si>
    <t>Bioestimuladores (Sculptra/Radiesse/Profhilo)</t>
  </si>
  <si>
    <t>profhilo</t>
  </si>
  <si>
    <t>$686 - $2,362</t>
  </si>
  <si>
    <t>harmonyca</t>
  </si>
  <si>
    <t>$702 - $2,921</t>
  </si>
  <si>
    <t>juvelook</t>
  </si>
  <si>
    <t>$739 - $2,074</t>
  </si>
  <si>
    <t>900%: marca nueva creciendo</t>
  </si>
  <si>
    <t>Hidratación / NCTF</t>
  </si>
  <si>
    <t>nctf</t>
  </si>
  <si>
    <t>$902 - $2,494</t>
  </si>
  <si>
    <t>nctf 135</t>
  </si>
  <si>
    <t>$810 - $1,335</t>
  </si>
  <si>
    <t>nctf ojeras</t>
  </si>
  <si>
    <t>$761 - $2,211</t>
  </si>
  <si>
    <t>rejuvenecimiento facial</t>
  </si>
  <si>
    <t>$834 - $2,178</t>
  </si>
  <si>
    <t>Amplio, poca intención específica</t>
  </si>
  <si>
    <t>ÁRBOL DE PRODUCTO</t>
  </si>
  <si>
    <t>hidratación facial profunda</t>
  </si>
  <si>
    <t>$880 - $2,836</t>
  </si>
  <si>
    <t>mesoterapia facial</t>
  </si>
  <si>
    <t>$818 - $1,963</t>
  </si>
  <si>
    <t>Microagujas</t>
  </si>
  <si>
    <t>dermapen</t>
  </si>
  <si>
    <t>Generación</t>
  </si>
  <si>
    <t>$202 - $1,792</t>
  </si>
  <si>
    <t>COMPRADORES del aparato, no del tratamiento</t>
  </si>
  <si>
    <t>Bajo</t>
  </si>
  <si>
    <t>Meta contenido + RT</t>
  </si>
  <si>
    <t>microneedling</t>
  </si>
  <si>
    <t>$825 - $3,353</t>
  </si>
  <si>
    <t>Nivel</t>
  </si>
  <si>
    <t>Servicio(s)</t>
  </si>
  <si>
    <t>Rol estratégico</t>
  </si>
  <si>
    <t>Ticket / LTV</t>
  </si>
  <si>
    <t>dermapen facial</t>
  </si>
  <si>
    <t>Canal de pauta principal</t>
  </si>
  <si>
    <t>$468 - $1,329</t>
  </si>
  <si>
    <t>0. ENTRADA</t>
  </si>
  <si>
    <t>dermapen precio</t>
  </si>
  <si>
    <t>$79 - $1,010</t>
  </si>
  <si>
    <t>Valoración inicial</t>
  </si>
  <si>
    <t>Mecanismo de conversión y confianza. Casi todo entra por aquí. Gratis o con abono al tratamiento.</t>
  </si>
  <si>
    <t>Bajo / —</t>
  </si>
  <si>
    <t>Google + Meta (oferta de valoración)</t>
  </si>
  <si>
    <t>microagujas</t>
  </si>
  <si>
    <t>Meta + TikTok</t>
  </si>
  <si>
    <t>1. VELOCIDAD Y CAJA</t>
  </si>
  <si>
    <t>Peelings</t>
  </si>
  <si>
    <t>Botox (tercio superior / baby botox)</t>
  </si>
  <si>
    <t>peeling facial</t>
  </si>
  <si>
    <t>$694 - $2,546</t>
  </si>
  <si>
    <t>Motor de caja. Demanda de marca existente, decisión y procedimiento rápidos, alta recurrencia, margen alto.</t>
  </si>
  <si>
    <t>Medio / ALTO (por recurrencia)</t>
  </si>
  <si>
    <t>Google (captura) + Meta retargeting</t>
  </si>
  <si>
    <t>microdermoabrasión</t>
  </si>
  <si>
    <t>$678 - $3,614</t>
  </si>
  <si>
    <t>Hidratación (skinboosters/NCTF) · Microagujas · Peelings</t>
  </si>
  <si>
    <t>Entradas accesibles, bajo riesgo percibido, se venden en paquete (caja anticipada). Amplían base de pacientes.</t>
  </si>
  <si>
    <t>Bajo-medio / Medio</t>
  </si>
  <si>
    <t>Meta + TikTok (prejuvenation)</t>
  </si>
  <si>
    <t>peeling ultrasónico</t>
  </si>
  <si>
    <t>2. TICKET ALTO QUE VENDE</t>
  </si>
  <si>
    <t>peeling químico</t>
  </si>
  <si>
    <t>$650 - $4,786</t>
  </si>
  <si>
    <t>Bioestimuladores — vía MARCA (Radiesse/Sculptra) · ESCENARIO</t>
  </si>
  <si>
    <t>Alto valor CON demanda de marca real ('relleno labios precio'). Ticket alto y ciclo aún corto. El mejor 'segundo producto'.</t>
  </si>
  <si>
    <t>Alto / Alto</t>
  </si>
  <si>
    <t>Google (captura) + Meta antes/después</t>
  </si>
  <si>
    <t>peeling para manchas</t>
  </si>
  <si>
    <t>$627 - $1,576</t>
  </si>
  <si>
    <t>Dolor concreto (melasma)</t>
  </si>
  <si>
    <t>Google marca + Meta</t>
  </si>
  <si>
    <t>3. ALTO VALOR / ASCENSIÓN</t>
  </si>
  <si>
    <t>Bioestimuladores · Enzimas recombinantes</t>
  </si>
  <si>
    <t>Exosomas</t>
  </si>
  <si>
    <t>exosomas</t>
  </si>
  <si>
    <t>$396 - $840</t>
  </si>
  <si>
    <t>Máximo ticket y margen absoluto, pero exigen educación, consideración y ciclo largo. Se venden al paciente que ya confía.</t>
  </si>
  <si>
    <t>Mayormente INFORMACIONAL/médico (qué es, células madre)</t>
  </si>
  <si>
    <t>Muy alto / Alto</t>
  </si>
  <si>
    <t>Contenido + remarketing a pacientes existentes</t>
  </si>
  <si>
    <t>tratamiento con exosomas</t>
  </si>
  <si>
    <t>$451 - $2,352</t>
  </si>
  <si>
    <t>Intención estética real, muy baja</t>
  </si>
  <si>
    <t>SEGMENTOS GANADORES A ATACAR PRIMERO:</t>
  </si>
  <si>
    <t>exosomas precio</t>
  </si>
  <si>
    <t>$405 - $1,424</t>
  </si>
  <si>
    <t>Enzimas / corporal</t>
  </si>
  <si>
    <t>enzimas recombinantes</t>
  </si>
  <si>
    <t>Avatar 1 — 'La Preventiva' (26-38)</t>
  </si>
  <si>
    <t>$875 - $2,409</t>
  </si>
  <si>
    <t>↓90% interanual: en declive</t>
  </si>
  <si>
    <t>Entra por botox preventivo + hidratación/microagujas. Captura la tendencia prejuvenation (el segmento de mayor crecimiento). Alta recurrencia, bajo riesgo percibido.</t>
  </si>
  <si>
    <t>celulitis en las piernas</t>
  </si>
  <si>
    <t>$202 - $1,744</t>
  </si>
  <si>
    <t>Se busca el PROBLEMA, no el producto</t>
  </si>
  <si>
    <t>Avatar 2 — 'La Armonización Natural' (30-45)</t>
  </si>
  <si>
    <t>Entra por ácido hialurónico de volumen (labios/ojeras) + botox. Demanda de marca transaccional, ticket más alto. Asciende a bioestimuladores.</t>
  </si>
  <si>
    <t>tratamiento para celulitis</t>
  </si>
  <si>
    <t>$495 - $1,511</t>
  </si>
  <si>
    <t>grasa localizada</t>
  </si>
  <si>
    <t>Valoración</t>
  </si>
  <si>
    <t>medicina estética bogotá</t>
  </si>
  <si>
    <t>$1,261 - $8,347</t>
  </si>
  <si>
    <t>Puerta de entrada; CPC tope muy alto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</si>
</sst>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#,##0"/>
    <numFmt numFmtId="165" formatCode="0.0%"/>
    <numFmt numFmtId="166" formatCode="0.0\x"/>
  </numFmts>
  <fonts count="24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b/>
      <sz val="11.0"/>
      <color rgb="FF1E4D48"/>
      <name val="Arial"/>
    </font>
    <font>
      <b/>
      <sz val="9.0"/>
      <color rgb="FFFFFFFF"/>
      <name val="Arial"/>
    </font>
    <font>
      <b/>
      <sz val="10.0"/>
      <color theme="1"/>
      <name val="Arial"/>
    </font>
    <font>
      <i/>
      <sz val="8.0"/>
      <color rgb="FF777777"/>
      <name val="Arial"/>
    </font>
    <font>
      <sz val="10.0"/>
      <color rgb="FF1F5FA8"/>
      <name val="Arial"/>
    </font>
    <font>
      <sz val="10.0"/>
      <color theme="1"/>
      <name val="Arial"/>
    </font>
    <font>
      <b/>
      <sz val="11.0"/>
      <color rgb="FF1F5FA8"/>
      <name val="Arial"/>
    </font>
    <font>
      <b/>
      <sz val="9.0"/>
      <color rgb="FF1F5FA8"/>
      <name val="Arial"/>
    </font>
    <font>
      <sz val="8.0"/>
      <color rgb="FF777777"/>
      <name val="Arial"/>
    </font>
    <font>
      <b/>
      <sz val="9.0"/>
      <color theme="1"/>
      <name val="Arial"/>
    </font>
    <font>
      <b/>
      <sz val="8.0"/>
      <color rgb="FFFFFFFF"/>
      <name val="Arial"/>
    </font>
    <font>
      <color theme="1"/>
      <name val="Arial"/>
    </font>
    <font>
      <b/>
      <color rgb="FFFFFFFF"/>
      <name val="Arial"/>
    </font>
    <font>
      <sz val="9.0"/>
      <color theme="1"/>
      <name val="Arial"/>
    </font>
    <font>
      <sz val="8.0"/>
      <color theme="1"/>
      <name val="Arial"/>
    </font>
    <font>
      <b/>
      <color theme="1"/>
      <name val="Arial"/>
    </font>
    <font>
      <sz val="10.0"/>
      <color rgb="FF000000"/>
      <name val="Arial"/>
    </font>
    <font>
      <sz val="10.0"/>
      <color rgb="FF2E7D32"/>
      <name val="Arial"/>
    </font>
    <font>
      <b/>
      <sz val="10.0"/>
      <color rgb="FF2E7D32"/>
      <name val="Arial"/>
    </font>
    <font>
      <b/>
      <sz val="11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1E4D48"/>
        <bgColor rgb="FF1E4D48"/>
      </patternFill>
    </fill>
    <fill>
      <patternFill patternType="solid">
        <fgColor rgb="FF35655C"/>
        <bgColor rgb="FF35655C"/>
      </patternFill>
    </fill>
    <fill>
      <patternFill patternType="solid">
        <fgColor rgb="FFF4EFE7"/>
        <bgColor rgb="FFF4EFE7"/>
      </patternFill>
    </fill>
    <fill>
      <patternFill patternType="solid">
        <fgColor rgb="FF4F7E74"/>
        <bgColor rgb="FF4F7E74"/>
      </patternFill>
    </fill>
    <fill>
      <patternFill patternType="solid">
        <fgColor rgb="FFF0DFA8"/>
        <bgColor rgb="FFF0DFA8"/>
      </patternFill>
    </fill>
    <fill>
      <patternFill patternType="solid">
        <fgColor rgb="FF1E8E4A"/>
        <bgColor rgb="FF1E8E4A"/>
      </patternFill>
    </fill>
    <fill>
      <patternFill patternType="solid">
        <fgColor rgb="FFCFE7D6"/>
        <bgColor rgb="FFCFE7D6"/>
      </patternFill>
    </fill>
    <fill>
      <patternFill patternType="solid">
        <fgColor rgb="FFDCE8E3"/>
        <bgColor rgb="FFDCE8E3"/>
      </patternFill>
    </fill>
    <fill>
      <patternFill patternType="solid">
        <fgColor rgb="FFF5E9CF"/>
        <bgColor rgb="FFF5E9CF"/>
      </patternFill>
    </fill>
    <fill>
      <patternFill patternType="solid">
        <fgColor rgb="FFFFFFFF"/>
        <bgColor rgb="FFFFFFFF"/>
      </patternFill>
    </fill>
    <fill>
      <patternFill patternType="solid">
        <fgColor rgb="FFE7F0E4"/>
        <bgColor rgb="FFE7F0E4"/>
      </patternFill>
    </fill>
    <fill>
      <patternFill patternType="solid">
        <fgColor rgb="FFE0EFE4"/>
        <bgColor rgb="FFE0EFE4"/>
      </patternFill>
    </fill>
    <fill>
      <patternFill patternType="solid">
        <fgColor rgb="FFF3D9C4"/>
        <bgColor rgb="FFF3D9C4"/>
      </patternFill>
    </fill>
    <fill>
      <patternFill patternType="solid">
        <fgColor rgb="FFEBC3AF"/>
        <bgColor rgb="FFEBC3AF"/>
      </patternFill>
    </fill>
    <fill>
      <patternFill patternType="solid">
        <fgColor rgb="FFF0E2C8"/>
        <bgColor rgb="FFF0E2C8"/>
      </patternFill>
    </fill>
    <fill>
      <patternFill patternType="solid">
        <fgColor rgb="FFE8E0F0"/>
        <bgColor rgb="FFE8E0F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4" fillId="3" fontId="5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4" fillId="0" fontId="8" numFmtId="164" xfId="0" applyAlignment="1" applyBorder="1" applyFont="1" applyNumberFormat="1">
      <alignment horizontal="right" shrinkToFit="0" vertical="center" wrapText="0"/>
    </xf>
    <xf borderId="4" fillId="3" fontId="5" numFmtId="0" xfId="0" applyAlignment="1" applyBorder="1" applyFill="1" applyFont="1">
      <alignment horizontal="center" shrinkToFit="0" wrapText="1"/>
    </xf>
    <xf borderId="4" fillId="0" fontId="9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4" fillId="5" fontId="5" numFmtId="0" xfId="0" applyAlignment="1" applyBorder="1" applyFill="1" applyFont="1">
      <alignment horizontal="center" shrinkToFit="0" vertical="center" wrapText="1"/>
    </xf>
    <xf borderId="4" fillId="6" fontId="10" numFmtId="164" xfId="0" applyAlignment="1" applyBorder="1" applyFill="1" applyFont="1" applyNumberFormat="1">
      <alignment horizontal="center" shrinkToFit="0" vertical="center" wrapText="1"/>
    </xf>
    <xf borderId="4" fillId="6" fontId="11" numFmtId="9" xfId="0" applyAlignment="1" applyBorder="1" applyFill="1" applyFont="1" applyNumberFormat="1">
      <alignment horizontal="center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shrinkToFit="0" vertical="bottom" wrapText="0"/>
    </xf>
    <xf borderId="4" fillId="4" fontId="13" numFmtId="0" xfId="0" applyAlignment="1" applyBorder="1" applyFill="1" applyFont="1">
      <alignment shrinkToFit="0" wrapText="1"/>
    </xf>
    <xf borderId="4" fillId="3" fontId="14" numFmtId="0" xfId="0" applyAlignment="1" applyBorder="1" applyFill="1" applyFont="1">
      <alignment horizontal="center" shrinkToFit="0" vertical="center" wrapText="1"/>
    </xf>
    <xf borderId="4" fillId="0" fontId="15" numFmtId="0" xfId="0" applyAlignment="1" applyBorder="1" applyFont="1">
      <alignment shrinkToFit="0" wrapText="1"/>
    </xf>
    <xf borderId="4" fillId="7" fontId="16" numFmtId="3" xfId="0" applyAlignment="1" applyBorder="1" applyFill="1" applyFont="1" applyNumberFormat="1">
      <alignment horizontal="center" shrinkToFit="0" wrapText="1"/>
    </xf>
    <xf borderId="4" fillId="8" fontId="17" numFmtId="0" xfId="0" applyAlignment="1" applyBorder="1" applyFill="1" applyFont="1">
      <alignment horizontal="center" shrinkToFit="0" wrapText="1"/>
    </xf>
    <xf borderId="4" fillId="0" fontId="17" numFmtId="0" xfId="0" applyAlignment="1" applyBorder="1" applyFont="1">
      <alignment horizontal="center" shrinkToFit="0" wrapText="1"/>
    </xf>
    <xf borderId="4" fillId="8" fontId="9" numFmtId="0" xfId="0" applyAlignment="1" applyBorder="1" applyFill="1" applyFont="1">
      <alignment horizontal="center" shrinkToFit="0" vertical="center" wrapText="1"/>
    </xf>
    <xf borderId="4" fillId="0" fontId="12" numFmtId="0" xfId="0" applyAlignment="1" applyBorder="1" applyFont="1">
      <alignment shrinkToFit="0" wrapText="1"/>
    </xf>
    <xf borderId="4" fillId="0" fontId="6" numFmtId="9" xfId="0" applyAlignment="1" applyBorder="1" applyFont="1" applyNumberFormat="1">
      <alignment horizontal="center" shrinkToFit="0" vertical="center" wrapText="1"/>
    </xf>
    <xf borderId="4" fillId="0" fontId="18" numFmtId="0" xfId="0" applyAlignment="1" applyBorder="1" applyFont="1">
      <alignment horizontal="center" shrinkToFit="0" vertical="center" wrapText="1"/>
    </xf>
    <xf borderId="4" fillId="0" fontId="8" numFmtId="164" xfId="0" applyAlignment="1" applyBorder="1" applyFont="1" applyNumberFormat="1">
      <alignment horizontal="center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4" fillId="0" fontId="8" numFmtId="165" xfId="0" applyAlignment="1" applyBorder="1" applyFont="1" applyNumberFormat="1">
      <alignment horizontal="center" shrinkToFit="0" vertical="center" wrapText="1"/>
    </xf>
    <xf borderId="4" fillId="8" fontId="19" numFmtId="3" xfId="0" applyAlignment="1" applyBorder="1" applyFill="1" applyFont="1" applyNumberFormat="1">
      <alignment horizontal="center" shrinkToFit="0" wrapText="1"/>
    </xf>
    <xf borderId="4" fillId="0" fontId="3" numFmtId="0" xfId="0" applyBorder="1" applyFont="1"/>
    <xf borderId="4" fillId="0" fontId="20" numFmtId="164" xfId="0" applyAlignment="1" applyBorder="1" applyFont="1" applyNumberFormat="1">
      <alignment horizontal="center" shrinkToFit="0" vertical="center" wrapText="1"/>
    </xf>
    <xf borderId="4" fillId="9" fontId="6" numFmtId="164" xfId="0" applyAlignment="1" applyBorder="1" applyFill="1" applyFont="1" applyNumberFormat="1">
      <alignment horizontal="center" shrinkToFit="0" vertical="center" wrapText="1"/>
    </xf>
    <xf borderId="4" fillId="0" fontId="8" numFmtId="9" xfId="0" applyAlignment="1" applyBorder="1" applyFont="1" applyNumberFormat="1">
      <alignment horizontal="center" shrinkToFit="0" vertical="center" wrapText="1"/>
    </xf>
    <xf borderId="4" fillId="0" fontId="21" numFmtId="164" xfId="0" applyAlignment="1" applyBorder="1" applyFont="1" applyNumberFormat="1">
      <alignment horizontal="center" shrinkToFit="0" vertical="center" wrapText="1"/>
    </xf>
    <xf borderId="4" fillId="0" fontId="20" numFmtId="164" xfId="0" applyAlignment="1" applyBorder="1" applyFont="1" applyNumberFormat="1">
      <alignment horizontal="right" shrinkToFit="0" vertical="center" wrapText="0"/>
    </xf>
    <xf borderId="4" fillId="10" fontId="19" numFmtId="3" xfId="0" applyAlignment="1" applyBorder="1" applyFill="1" applyFont="1" applyNumberFormat="1">
      <alignment horizontal="center" shrinkToFit="0" wrapText="1"/>
    </xf>
    <xf borderId="4" fillId="0" fontId="20" numFmtId="165" xfId="0" applyAlignment="1" applyBorder="1" applyFont="1" applyNumberForma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0" fontId="6" numFmtId="166" xfId="0" applyAlignment="1" applyBorder="1" applyFont="1" applyNumberFormat="1">
      <alignment horizontal="center" shrinkToFit="0" vertical="center" wrapText="1"/>
    </xf>
    <xf borderId="4" fillId="0" fontId="20" numFmtId="2" xfId="0" applyAlignment="1" applyBorder="1" applyFont="1" applyNumberFormat="1">
      <alignment horizontal="center" shrinkToFit="0" vertical="center" wrapText="1"/>
    </xf>
    <xf borderId="4" fillId="8" fontId="8" numFmtId="1" xfId="0" applyAlignment="1" applyBorder="1" applyFill="1" applyFont="1" applyNumberFormat="1">
      <alignment horizontal="center" shrinkToFit="0" vertical="center" wrapText="1"/>
    </xf>
    <xf borderId="4" fillId="11" fontId="13" numFmtId="0" xfId="0" applyAlignment="1" applyBorder="1" applyFill="1" applyFont="1">
      <alignment shrinkToFit="0" wrapText="1"/>
    </xf>
    <xf borderId="4" fillId="0" fontId="6" numFmtId="1" xfId="0" applyAlignment="1" applyBorder="1" applyFont="1" applyNumberFormat="1">
      <alignment horizontal="center" shrinkToFit="0" vertical="center" wrapText="1"/>
    </xf>
    <xf borderId="4" fillId="12" fontId="22" numFmtId="1" xfId="0" applyAlignment="1" applyBorder="1" applyFill="1" applyFont="1" applyNumberFormat="1">
      <alignment horizontal="center" shrinkToFit="0" vertical="center" wrapText="1"/>
    </xf>
    <xf borderId="4" fillId="10" fontId="8" numFmtId="1" xfId="0" applyAlignment="1" applyBorder="1" applyFill="1" applyFont="1" applyNumberFormat="1">
      <alignment horizontal="center" shrinkToFit="0" vertical="center" wrapText="1"/>
    </xf>
    <xf borderId="4" fillId="13" fontId="8" numFmtId="1" xfId="0" applyAlignment="1" applyBorder="1" applyFill="1" applyFont="1" applyNumberFormat="1">
      <alignment horizontal="center" shrinkToFit="0" vertical="center" wrapText="1"/>
    </xf>
    <xf borderId="4" fillId="14" fontId="17" numFmtId="0" xfId="0" applyAlignment="1" applyBorder="1" applyFill="1" applyFont="1">
      <alignment horizontal="center" shrinkToFit="0" wrapText="1"/>
    </xf>
    <xf borderId="4" fillId="9" fontId="23" numFmtId="2" xfId="0" applyAlignment="1" applyBorder="1" applyFill="1" applyFont="1" applyNumberFormat="1">
      <alignment horizontal="center" shrinkToFit="0" vertical="center" wrapText="1"/>
    </xf>
    <xf borderId="4" fillId="9" fontId="23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10" fontId="17" numFmtId="0" xfId="0" applyAlignment="1" applyBorder="1" applyFill="1" applyFont="1">
      <alignment horizontal="center" shrinkToFit="0" wrapText="1"/>
    </xf>
    <xf borderId="4" fillId="10" fontId="9" numFmtId="0" xfId="0" applyAlignment="1" applyBorder="1" applyFill="1" applyFont="1">
      <alignment horizontal="center" shrinkToFit="0" vertical="center" wrapText="1"/>
    </xf>
    <xf borderId="4" fillId="0" fontId="12" numFmtId="0" xfId="0" applyAlignment="1" applyBorder="1" applyFont="1">
      <alignment readingOrder="0" shrinkToFit="0" wrapText="1"/>
    </xf>
    <xf borderId="4" fillId="14" fontId="8" numFmtId="1" xfId="0" applyAlignment="1" applyBorder="1" applyFill="1" applyFont="1" applyNumberFormat="1">
      <alignment horizontal="center" shrinkToFit="0" vertical="center" wrapText="1"/>
    </xf>
    <xf borderId="4" fillId="15" fontId="8" numFmtId="1" xfId="0" applyAlignment="1" applyBorder="1" applyFill="1" applyFont="1" applyNumberFormat="1">
      <alignment horizontal="center" shrinkToFit="0" vertical="center" wrapText="1"/>
    </xf>
    <xf borderId="0" fillId="0" fontId="3" numFmtId="0" xfId="0" applyAlignment="1" applyFont="1">
      <alignment shrinkToFit="0" vertical="bottom" wrapText="1"/>
    </xf>
    <xf borderId="4" fillId="14" fontId="9" numFmtId="0" xfId="0" applyAlignment="1" applyBorder="1" applyFill="1" applyFont="1">
      <alignment horizontal="center" shrinkToFit="0" vertical="center" wrapText="1"/>
    </xf>
    <xf borderId="4" fillId="16" fontId="19" numFmtId="0" xfId="0" applyAlignment="1" applyBorder="1" applyFill="1" applyFont="1">
      <alignment horizontal="center" shrinkToFit="0" wrapText="1"/>
    </xf>
    <xf borderId="4" fillId="16" fontId="15" numFmtId="0" xfId="0" applyAlignment="1" applyBorder="1" applyFill="1" applyFont="1">
      <alignment shrinkToFit="0" wrapText="1"/>
    </xf>
    <xf borderId="4" fillId="16" fontId="15" numFmtId="0" xfId="0" applyAlignment="1" applyBorder="1" applyFill="1" applyFont="1">
      <alignment horizontal="center" shrinkToFit="0" wrapText="1"/>
    </xf>
    <xf borderId="4" fillId="8" fontId="19" numFmtId="0" xfId="0" applyAlignment="1" applyBorder="1" applyFill="1" applyFont="1">
      <alignment horizontal="center" shrinkToFit="0" wrapText="1"/>
    </xf>
    <xf borderId="4" fillId="8" fontId="15" numFmtId="0" xfId="0" applyAlignment="1" applyBorder="1" applyFill="1" applyFont="1">
      <alignment shrinkToFit="0" wrapText="1"/>
    </xf>
    <xf borderId="4" fillId="8" fontId="15" numFmtId="0" xfId="0" applyAlignment="1" applyBorder="1" applyFill="1" applyFont="1">
      <alignment horizontal="center" shrinkToFit="0" wrapText="1"/>
    </xf>
    <xf borderId="4" fillId="10" fontId="19" numFmtId="0" xfId="0" applyAlignment="1" applyBorder="1" applyFill="1" applyFont="1">
      <alignment horizontal="center" shrinkToFit="0" wrapText="1"/>
    </xf>
    <xf borderId="4" fillId="10" fontId="15" numFmtId="0" xfId="0" applyAlignment="1" applyBorder="1" applyFill="1" applyFont="1">
      <alignment shrinkToFit="0" wrapText="1"/>
    </xf>
    <xf borderId="4" fillId="17" fontId="13" numFmtId="0" xfId="0" applyAlignment="1" applyBorder="1" applyFill="1" applyFont="1">
      <alignment horizontal="left" shrinkToFit="0" vertical="center" wrapText="1"/>
    </xf>
    <xf borderId="4" fillId="10" fontId="15" numFmtId="0" xfId="0" applyAlignment="1" applyBorder="1" applyFill="1" applyFont="1">
      <alignment horizontal="center" shrinkToFit="0" wrapText="1"/>
    </xf>
    <xf borderId="4" fillId="17" fontId="9" numFmtId="0" xfId="0" applyAlignment="1" applyBorder="1" applyFill="1" applyFont="1">
      <alignment horizontal="center" shrinkToFit="0" vertical="center" wrapText="1"/>
    </xf>
    <xf borderId="4" fillId="9" fontId="19" numFmtId="0" xfId="0" applyAlignment="1" applyBorder="1" applyFill="1" applyFont="1">
      <alignment horizontal="center" shrinkToFit="0" wrapText="1"/>
    </xf>
    <xf borderId="4" fillId="17" fontId="18" numFmtId="0" xfId="0" applyAlignment="1" applyBorder="1" applyFill="1" applyFont="1">
      <alignment horizontal="center" shrinkToFit="0" vertical="center" wrapText="1"/>
    </xf>
    <xf borderId="4" fillId="9" fontId="15" numFmtId="0" xfId="0" applyAlignment="1" applyBorder="1" applyFill="1" applyFont="1">
      <alignment shrinkToFit="0" wrapText="1"/>
    </xf>
    <xf borderId="4" fillId="17" fontId="8" numFmtId="164" xfId="0" applyAlignment="1" applyBorder="1" applyFill="1" applyFont="1" applyNumberFormat="1">
      <alignment horizontal="center" shrinkToFit="0" vertical="center" wrapText="1"/>
    </xf>
    <xf borderId="4" fillId="9" fontId="15" numFmtId="0" xfId="0" applyAlignment="1" applyBorder="1" applyFill="1" applyFont="1">
      <alignment horizontal="center" shrinkToFit="0" wrapText="1"/>
    </xf>
    <xf borderId="4" fillId="17" fontId="8" numFmtId="165" xfId="0" applyAlignment="1" applyBorder="1" applyFill="1" applyFont="1" applyNumberFormat="1">
      <alignment horizontal="center" shrinkToFit="0" vertical="center" wrapText="1"/>
    </xf>
    <xf borderId="4" fillId="17" fontId="20" numFmtId="164" xfId="0" applyAlignment="1" applyBorder="1" applyFill="1" applyFont="1" applyNumberFormat="1">
      <alignment horizontal="center" shrinkToFit="0" vertical="center" wrapText="1"/>
    </xf>
    <xf borderId="4" fillId="17" fontId="6" numFmtId="164" xfId="0" applyAlignment="1" applyBorder="1" applyFill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bottom" wrapText="1"/>
    </xf>
    <xf borderId="4" fillId="8" fontId="19" numFmtId="0" xfId="0" applyAlignment="1" applyBorder="1" applyFill="1" applyFont="1">
      <alignment shrinkToFit="0" vertical="bottom" wrapText="1"/>
    </xf>
    <xf borderId="4" fillId="17" fontId="21" numFmtId="164" xfId="0" applyAlignment="1" applyBorder="1" applyFill="1" applyFont="1" applyNumberFormat="1">
      <alignment horizontal="center" shrinkToFit="0" vertical="center" wrapText="1"/>
    </xf>
    <xf borderId="5" fillId="0" fontId="15" numFmtId="0" xfId="0" applyAlignment="1" applyBorder="1" applyFont="1">
      <alignment shrinkToFit="0" wrapText="1"/>
    </xf>
    <xf borderId="6" fillId="0" fontId="2" numFmtId="0" xfId="0" applyBorder="1" applyFont="1"/>
    <xf borderId="4" fillId="17" fontId="20" numFmtId="165" xfId="0" applyAlignment="1" applyBorder="1" applyFill="1" applyFont="1" applyNumberFormat="1">
      <alignment horizontal="center" shrinkToFit="0" vertical="center" wrapText="1"/>
    </xf>
    <xf borderId="4" fillId="17" fontId="6" numFmtId="166" xfId="0" applyAlignment="1" applyBorder="1" applyFill="1" applyFont="1" applyNumberFormat="1">
      <alignment horizontal="center" shrinkToFit="0" vertical="center" wrapText="1"/>
    </xf>
    <xf borderId="4" fillId="17" fontId="20" numFmtId="2" xfId="0" applyAlignment="1" applyBorder="1" applyFill="1" applyFont="1" applyNumberFormat="1">
      <alignment horizontal="center" shrinkToFit="0" vertical="center" wrapText="1"/>
    </xf>
    <xf borderId="4" fillId="17" fontId="6" numFmtId="1" xfId="0" applyAlignment="1" applyBorder="1" applyFill="1" applyFont="1" applyNumberFormat="1">
      <alignment horizontal="center" shrinkToFit="0" vertical="center" wrapText="1"/>
    </xf>
    <xf borderId="4" fillId="17" fontId="2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2.0"/>
    <col customWidth="1" min="3" max="3" width="13.0"/>
    <col customWidth="1" min="4" max="4" width="15.0"/>
    <col customWidth="1" min="5" max="5" width="13.0"/>
    <col customWidth="1" min="6" max="6" width="30.0"/>
    <col customWidth="1" min="7" max="7" width="12.0"/>
    <col customWidth="1" min="8" max="8" width="26.0"/>
    <col customWidth="1" min="9" max="26" width="8.71"/>
  </cols>
  <sheetData>
    <row r="1" ht="25.5" customHeight="1">
      <c r="A1" s="2" t="s">
        <v>1</v>
      </c>
      <c r="B1" s="3"/>
      <c r="C1" s="3"/>
      <c r="D1" s="3"/>
      <c r="E1" s="3"/>
      <c r="F1" s="3"/>
      <c r="G1" s="3"/>
      <c r="H1" s="4"/>
    </row>
    <row r="3">
      <c r="A3" s="6" t="s">
        <v>3</v>
      </c>
    </row>
    <row r="4" ht="30.0" customHeight="1">
      <c r="A4" s="8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</row>
    <row r="5">
      <c r="A5" s="10" t="s">
        <v>13</v>
      </c>
      <c r="B5" s="12">
        <v>400000.0</v>
      </c>
      <c r="C5" s="12">
        <v>1100000.0</v>
      </c>
      <c r="D5" s="12">
        <v>2000000.0</v>
      </c>
      <c r="E5" s="14" t="s">
        <v>17</v>
      </c>
      <c r="F5" s="14" t="s">
        <v>23</v>
      </c>
      <c r="G5" s="14" t="s">
        <v>24</v>
      </c>
      <c r="H5" s="14" t="s">
        <v>25</v>
      </c>
    </row>
    <row r="6">
      <c r="A6" s="10" t="s">
        <v>26</v>
      </c>
      <c r="B6" s="12">
        <v>900000.0</v>
      </c>
      <c r="C6" s="12">
        <v>1400000.0</v>
      </c>
      <c r="D6" s="12">
        <v>3500000.0</v>
      </c>
      <c r="E6" s="14" t="s">
        <v>27</v>
      </c>
      <c r="F6" s="14" t="s">
        <v>28</v>
      </c>
      <c r="G6" s="14" t="s">
        <v>29</v>
      </c>
      <c r="H6" s="14" t="s">
        <v>25</v>
      </c>
    </row>
    <row r="7">
      <c r="A7" s="10" t="s">
        <v>30</v>
      </c>
      <c r="B7" s="12">
        <v>900000.0</v>
      </c>
      <c r="C7" s="12">
        <v>1200000.0</v>
      </c>
      <c r="D7" s="12">
        <v>2000000.0</v>
      </c>
      <c r="E7" s="14" t="s">
        <v>32</v>
      </c>
      <c r="F7" s="14" t="s">
        <v>33</v>
      </c>
      <c r="G7" s="14" t="s">
        <v>34</v>
      </c>
      <c r="H7" s="14" t="s">
        <v>35</v>
      </c>
    </row>
    <row r="8">
      <c r="A8" s="10" t="s">
        <v>36</v>
      </c>
      <c r="B8" s="12">
        <v>555000.0</v>
      </c>
      <c r="C8" s="12">
        <v>750000.0</v>
      </c>
      <c r="D8" s="12">
        <v>1290000.0</v>
      </c>
      <c r="E8" s="14" t="s">
        <v>37</v>
      </c>
      <c r="F8" s="14" t="s">
        <v>28</v>
      </c>
      <c r="G8" s="14" t="s">
        <v>38</v>
      </c>
      <c r="H8" s="14" t="s">
        <v>39</v>
      </c>
    </row>
    <row r="9">
      <c r="A9" s="10" t="s">
        <v>40</v>
      </c>
      <c r="B9" s="12">
        <v>200000.0</v>
      </c>
      <c r="C9" s="12">
        <v>400000.0</v>
      </c>
      <c r="D9" s="12">
        <v>700000.0</v>
      </c>
      <c r="E9" s="14" t="s">
        <v>41</v>
      </c>
      <c r="F9" s="14" t="s">
        <v>42</v>
      </c>
      <c r="G9" s="14" t="s">
        <v>43</v>
      </c>
      <c r="H9" s="14" t="s">
        <v>44</v>
      </c>
    </row>
    <row r="10">
      <c r="A10" s="10" t="s">
        <v>45</v>
      </c>
      <c r="B10" s="12">
        <v>1800000.0</v>
      </c>
      <c r="C10" s="12">
        <v>2600000.0</v>
      </c>
      <c r="D10" s="12">
        <v>5500000.0</v>
      </c>
      <c r="E10" s="14" t="s">
        <v>46</v>
      </c>
      <c r="F10" s="14" t="s">
        <v>47</v>
      </c>
      <c r="G10" s="14" t="s">
        <v>48</v>
      </c>
      <c r="H10" s="14" t="s">
        <v>49</v>
      </c>
    </row>
    <row r="11">
      <c r="A11" s="10" t="s">
        <v>50</v>
      </c>
      <c r="B11" s="12">
        <v>500000.0</v>
      </c>
      <c r="C11" s="12">
        <v>900000.0</v>
      </c>
      <c r="D11" s="12">
        <v>1800000.0</v>
      </c>
      <c r="E11" s="14" t="s">
        <v>46</v>
      </c>
      <c r="F11" s="14" t="s">
        <v>47</v>
      </c>
      <c r="G11" s="14" t="s">
        <v>51</v>
      </c>
      <c r="H11" s="14" t="s">
        <v>52</v>
      </c>
    </row>
    <row r="13">
      <c r="A13" s="6" t="s">
        <v>53</v>
      </c>
    </row>
    <row r="14" ht="30.0" customHeight="1">
      <c r="A14" s="17" t="s">
        <v>54</v>
      </c>
      <c r="B14" s="17" t="s">
        <v>55</v>
      </c>
      <c r="C14" s="17" t="s">
        <v>56</v>
      </c>
      <c r="D14" s="17" t="s">
        <v>57</v>
      </c>
      <c r="E14" s="17" t="s">
        <v>58</v>
      </c>
      <c r="F14" s="17" t="s">
        <v>59</v>
      </c>
      <c r="G14" s="17" t="s">
        <v>60</v>
      </c>
      <c r="H14" s="17" t="s">
        <v>61</v>
      </c>
    </row>
    <row r="15" ht="39.75" customHeight="1">
      <c r="A15" s="10" t="s">
        <v>62</v>
      </c>
      <c r="B15" s="14" t="s">
        <v>63</v>
      </c>
      <c r="C15" s="14" t="s">
        <v>64</v>
      </c>
      <c r="D15" s="14" t="s">
        <v>65</v>
      </c>
      <c r="E15" s="14" t="s">
        <v>66</v>
      </c>
      <c r="F15" s="20" t="s">
        <v>67</v>
      </c>
      <c r="G15" s="14" t="s">
        <v>69</v>
      </c>
      <c r="H15" s="20" t="s">
        <v>70</v>
      </c>
    </row>
    <row r="16" ht="39.75" customHeight="1">
      <c r="A16" s="10" t="s">
        <v>71</v>
      </c>
      <c r="B16" s="14" t="s">
        <v>72</v>
      </c>
      <c r="C16" s="14" t="s">
        <v>73</v>
      </c>
      <c r="D16" s="14" t="s">
        <v>74</v>
      </c>
      <c r="E16" s="14" t="s">
        <v>75</v>
      </c>
      <c r="F16" s="20" t="s">
        <v>76</v>
      </c>
      <c r="G16" s="14" t="s">
        <v>77</v>
      </c>
      <c r="H16" s="20" t="s">
        <v>78</v>
      </c>
    </row>
    <row r="17" ht="39.75" customHeight="1">
      <c r="A17" s="10" t="s">
        <v>79</v>
      </c>
      <c r="B17" s="14" t="s">
        <v>80</v>
      </c>
      <c r="C17" s="14" t="s">
        <v>81</v>
      </c>
      <c r="D17" s="14" t="s">
        <v>82</v>
      </c>
      <c r="E17" s="14" t="s">
        <v>83</v>
      </c>
      <c r="F17" s="20" t="s">
        <v>84</v>
      </c>
      <c r="G17" s="14" t="s">
        <v>85</v>
      </c>
      <c r="H17" s="20" t="s">
        <v>86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">
    <mergeCell ref="A1:H1"/>
    <mergeCell ref="A3:H3"/>
    <mergeCell ref="A13:H1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14.0"/>
    <col customWidth="1" min="3" max="3" width="11.0"/>
    <col customWidth="1" min="4" max="4" width="14.0"/>
    <col customWidth="1" min="5" max="5" width="11.0"/>
    <col customWidth="1" min="6" max="6" width="14.0"/>
    <col customWidth="1" min="7" max="7" width="11.0"/>
    <col customWidth="1" min="8" max="16" width="10.0"/>
    <col customWidth="1" min="17" max="17" width="11.0"/>
    <col customWidth="1" min="18" max="18" width="7.0"/>
    <col customWidth="1" min="19" max="26" width="8.71"/>
  </cols>
  <sheetData>
    <row r="1" ht="25.5" customHeight="1">
      <c r="A1" s="2" t="s">
        <v>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>
      <c r="Q2" s="11" t="s">
        <v>14</v>
      </c>
    </row>
    <row r="3">
      <c r="A3" s="16" t="s">
        <v>16</v>
      </c>
      <c r="H3" s="19">
        <v>0.15</v>
      </c>
      <c r="I3" s="19">
        <v>0.2</v>
      </c>
      <c r="J3" s="19">
        <v>0.12</v>
      </c>
      <c r="K3" s="19">
        <v>0.1</v>
      </c>
      <c r="L3" s="19">
        <v>0.11</v>
      </c>
      <c r="M3" s="19">
        <v>0.13</v>
      </c>
      <c r="N3" s="19">
        <v>0.08</v>
      </c>
      <c r="O3" s="19">
        <v>0.05</v>
      </c>
      <c r="P3" s="19">
        <v>0.06</v>
      </c>
      <c r="Q3" s="30">
        <f>SUM(H3:P3)</f>
        <v>1</v>
      </c>
    </row>
    <row r="4" ht="33.75" customHeight="1">
      <c r="A4" s="33" t="s">
        <v>5</v>
      </c>
      <c r="B4" s="33" t="s">
        <v>110</v>
      </c>
      <c r="C4" s="33" t="s">
        <v>112</v>
      </c>
      <c r="D4" s="33" t="s">
        <v>113</v>
      </c>
      <c r="E4" s="33" t="s">
        <v>114</v>
      </c>
      <c r="F4" s="33" t="s">
        <v>115</v>
      </c>
      <c r="G4" s="33" t="s">
        <v>116</v>
      </c>
      <c r="H4" s="23" t="s">
        <v>118</v>
      </c>
      <c r="I4" s="23" t="s">
        <v>119</v>
      </c>
      <c r="J4" s="23" t="s">
        <v>120</v>
      </c>
      <c r="K4" s="23" t="s">
        <v>121</v>
      </c>
      <c r="L4" s="23" t="s">
        <v>122</v>
      </c>
      <c r="M4" s="23" t="s">
        <v>124</v>
      </c>
      <c r="N4" s="23" t="s">
        <v>125</v>
      </c>
      <c r="O4" s="23" t="s">
        <v>126</v>
      </c>
      <c r="P4" s="23" t="s">
        <v>127</v>
      </c>
      <c r="Q4" s="17" t="s">
        <v>128</v>
      </c>
      <c r="R4" s="17" t="s">
        <v>129</v>
      </c>
    </row>
    <row r="5" ht="30.0" customHeight="1">
      <c r="A5" s="10" t="s">
        <v>13</v>
      </c>
      <c r="B5" s="12">
        <v>1100000.0</v>
      </c>
      <c r="C5" s="39">
        <v>0.72</v>
      </c>
      <c r="D5" s="41">
        <f t="shared" ref="D5:D11" si="1">B5*C5</f>
        <v>792000</v>
      </c>
      <c r="E5" s="44">
        <v>5.0</v>
      </c>
      <c r="F5" s="41">
        <f t="shared" ref="F5:F11" si="2">D5*E5</f>
        <v>3960000</v>
      </c>
      <c r="G5" s="44">
        <v>7.0</v>
      </c>
      <c r="H5" s="47">
        <v>5.0</v>
      </c>
      <c r="I5" s="50">
        <f>'Pauta x Producto'!Q6</f>
        <v>5</v>
      </c>
      <c r="J5" s="51">
        <v>3.0</v>
      </c>
      <c r="K5" s="52">
        <v>4.0</v>
      </c>
      <c r="L5" s="47">
        <v>5.0</v>
      </c>
      <c r="M5" s="47">
        <v>5.0</v>
      </c>
      <c r="N5" s="47">
        <v>5.0</v>
      </c>
      <c r="O5" s="52">
        <v>4.0</v>
      </c>
      <c r="P5" s="47">
        <v>5.0</v>
      </c>
      <c r="Q5" s="54">
        <f t="shared" ref="Q5:Q11" si="3">SUMPRODUCT(H5:P5,$H$3:$P$3)</f>
        <v>4.61</v>
      </c>
      <c r="R5" s="56">
        <f t="shared" ref="R5:R11" si="4">RANK(Q5,$Q$5:$Q$11)</f>
        <v>1</v>
      </c>
    </row>
    <row r="6" ht="30.0" customHeight="1">
      <c r="A6" s="10" t="s">
        <v>142</v>
      </c>
      <c r="B6" s="12">
        <v>1400000.0</v>
      </c>
      <c r="C6" s="39">
        <v>0.68</v>
      </c>
      <c r="D6" s="41">
        <f t="shared" si="1"/>
        <v>952000</v>
      </c>
      <c r="E6" s="44">
        <v>2.0</v>
      </c>
      <c r="F6" s="41">
        <f t="shared" si="2"/>
        <v>1904000</v>
      </c>
      <c r="G6" s="44">
        <v>10.0</v>
      </c>
      <c r="H6" s="47">
        <v>5.0</v>
      </c>
      <c r="I6" s="50">
        <f>'Pauta x Producto'!Q7</f>
        <v>4</v>
      </c>
      <c r="J6" s="52">
        <v>4.0</v>
      </c>
      <c r="K6" s="52">
        <v>4.0</v>
      </c>
      <c r="L6" s="51">
        <v>3.0</v>
      </c>
      <c r="M6" s="52">
        <v>4.0</v>
      </c>
      <c r="N6" s="52">
        <v>4.0</v>
      </c>
      <c r="O6" s="51">
        <v>3.0</v>
      </c>
      <c r="P6" s="52">
        <v>4.0</v>
      </c>
      <c r="Q6" s="54">
        <f t="shared" si="3"/>
        <v>3.99</v>
      </c>
      <c r="R6" s="56">
        <f t="shared" si="4"/>
        <v>3</v>
      </c>
    </row>
    <row r="7" ht="30.0" customHeight="1">
      <c r="A7" s="10" t="s">
        <v>157</v>
      </c>
      <c r="B7" s="12">
        <v>1150000.0</v>
      </c>
      <c r="C7" s="39">
        <v>0.62</v>
      </c>
      <c r="D7" s="41">
        <f t="shared" si="1"/>
        <v>713000</v>
      </c>
      <c r="E7" s="44">
        <v>4.0</v>
      </c>
      <c r="F7" s="41">
        <f t="shared" si="2"/>
        <v>2852000</v>
      </c>
      <c r="G7" s="44">
        <v>7.0</v>
      </c>
      <c r="H7" s="52">
        <v>4.0</v>
      </c>
      <c r="I7" s="50">
        <f>'Pauta x Producto'!Q8</f>
        <v>4</v>
      </c>
      <c r="J7" s="51">
        <v>3.0</v>
      </c>
      <c r="K7" s="51">
        <v>3.0</v>
      </c>
      <c r="L7" s="52">
        <v>4.0</v>
      </c>
      <c r="M7" s="52">
        <v>4.0</v>
      </c>
      <c r="N7" s="52">
        <v>4.0</v>
      </c>
      <c r="O7" s="52">
        <v>4.0</v>
      </c>
      <c r="P7" s="51">
        <v>3.0</v>
      </c>
      <c r="Q7" s="54">
        <f t="shared" si="3"/>
        <v>3.72</v>
      </c>
      <c r="R7" s="56">
        <f t="shared" si="4"/>
        <v>5</v>
      </c>
    </row>
    <row r="8" ht="30.0" customHeight="1">
      <c r="A8" s="10" t="s">
        <v>36</v>
      </c>
      <c r="B8" s="12">
        <v>750000.0</v>
      </c>
      <c r="C8" s="39">
        <v>0.7</v>
      </c>
      <c r="D8" s="41">
        <f t="shared" si="1"/>
        <v>525000</v>
      </c>
      <c r="E8" s="44">
        <v>5.0</v>
      </c>
      <c r="F8" s="41">
        <f t="shared" si="2"/>
        <v>2625000</v>
      </c>
      <c r="G8" s="44">
        <v>5.0</v>
      </c>
      <c r="H8" s="52">
        <v>4.0</v>
      </c>
      <c r="I8" s="50">
        <f>'Pauta x Producto'!Q9</f>
        <v>5</v>
      </c>
      <c r="J8" s="60">
        <v>2.0</v>
      </c>
      <c r="K8" s="52">
        <v>4.0</v>
      </c>
      <c r="L8" s="47">
        <v>5.0</v>
      </c>
      <c r="M8" s="51">
        <v>3.0</v>
      </c>
      <c r="N8" s="47">
        <v>5.0</v>
      </c>
      <c r="O8" s="52">
        <v>4.0</v>
      </c>
      <c r="P8" s="52">
        <v>4.0</v>
      </c>
      <c r="Q8" s="54">
        <f t="shared" si="3"/>
        <v>4.02</v>
      </c>
      <c r="R8" s="56">
        <f t="shared" si="4"/>
        <v>2</v>
      </c>
    </row>
    <row r="9" ht="30.0" customHeight="1">
      <c r="A9" s="10" t="s">
        <v>40</v>
      </c>
      <c r="B9" s="12">
        <v>400000.0</v>
      </c>
      <c r="C9" s="39">
        <v>0.8</v>
      </c>
      <c r="D9" s="41">
        <f t="shared" si="1"/>
        <v>320000</v>
      </c>
      <c r="E9" s="44">
        <v>5.0</v>
      </c>
      <c r="F9" s="41">
        <f t="shared" si="2"/>
        <v>1600000</v>
      </c>
      <c r="G9" s="44">
        <v>3.0</v>
      </c>
      <c r="H9" s="52">
        <v>4.0</v>
      </c>
      <c r="I9" s="50">
        <f>'Pauta x Producto'!Q10</f>
        <v>5</v>
      </c>
      <c r="J9" s="61">
        <v>1.0</v>
      </c>
      <c r="K9" s="47">
        <v>5.0</v>
      </c>
      <c r="L9" s="47">
        <v>5.0</v>
      </c>
      <c r="M9" s="60">
        <v>2.0</v>
      </c>
      <c r="N9" s="47">
        <v>5.0</v>
      </c>
      <c r="O9" s="47">
        <v>5.0</v>
      </c>
      <c r="P9" s="47">
        <v>5.0</v>
      </c>
      <c r="Q9" s="54">
        <f t="shared" si="3"/>
        <v>3.98</v>
      </c>
      <c r="R9" s="56">
        <f t="shared" si="4"/>
        <v>4</v>
      </c>
    </row>
    <row r="10" ht="30.0" customHeight="1">
      <c r="A10" s="10" t="s">
        <v>180</v>
      </c>
      <c r="B10" s="12">
        <v>2600000.0</v>
      </c>
      <c r="C10" s="39">
        <v>0.58</v>
      </c>
      <c r="D10" s="41">
        <f t="shared" si="1"/>
        <v>1508000</v>
      </c>
      <c r="E10" s="44">
        <v>2.0</v>
      </c>
      <c r="F10" s="41">
        <f t="shared" si="2"/>
        <v>3016000</v>
      </c>
      <c r="G10" s="44">
        <v>21.0</v>
      </c>
      <c r="H10" s="51">
        <v>3.0</v>
      </c>
      <c r="I10" s="50">
        <f>'Pauta x Producto'!Q11</f>
        <v>2</v>
      </c>
      <c r="J10" s="47">
        <v>5.0</v>
      </c>
      <c r="K10" s="51">
        <v>3.0</v>
      </c>
      <c r="L10" s="60">
        <v>2.0</v>
      </c>
      <c r="M10" s="52">
        <v>4.0</v>
      </c>
      <c r="N10" s="60">
        <v>2.0</v>
      </c>
      <c r="O10" s="60">
        <v>2.0</v>
      </c>
      <c r="P10" s="60">
        <v>2.0</v>
      </c>
      <c r="Q10" s="54">
        <f t="shared" si="3"/>
        <v>2.87</v>
      </c>
      <c r="R10" s="56">
        <f t="shared" si="4"/>
        <v>6</v>
      </c>
    </row>
    <row r="11" ht="30.0" customHeight="1">
      <c r="A11" s="10" t="s">
        <v>50</v>
      </c>
      <c r="B11" s="12">
        <v>900000.0</v>
      </c>
      <c r="C11" s="39">
        <v>0.6</v>
      </c>
      <c r="D11" s="41">
        <f t="shared" si="1"/>
        <v>540000</v>
      </c>
      <c r="E11" s="44">
        <v>4.0</v>
      </c>
      <c r="F11" s="41">
        <f t="shared" si="2"/>
        <v>2160000</v>
      </c>
      <c r="G11" s="44">
        <v>14.0</v>
      </c>
      <c r="H11" s="60">
        <v>2.0</v>
      </c>
      <c r="I11" s="50">
        <f>'Pauta x Producto'!Q12</f>
        <v>2</v>
      </c>
      <c r="J11" s="51">
        <v>3.0</v>
      </c>
      <c r="K11" s="51">
        <v>3.0</v>
      </c>
      <c r="L11" s="52">
        <v>4.0</v>
      </c>
      <c r="M11" s="51">
        <v>3.0</v>
      </c>
      <c r="N11" s="51">
        <v>3.0</v>
      </c>
      <c r="O11" s="51">
        <v>3.0</v>
      </c>
      <c r="P11" s="60">
        <v>2.0</v>
      </c>
      <c r="Q11" s="54">
        <f t="shared" si="3"/>
        <v>2.7</v>
      </c>
      <c r="R11" s="56">
        <f t="shared" si="4"/>
        <v>7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A1:R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12.0"/>
    <col customWidth="1" min="3" max="3" width="10.0"/>
    <col customWidth="1" min="4" max="4" width="15.0"/>
    <col customWidth="1" min="5" max="5" width="10.0"/>
    <col customWidth="1" min="6" max="7" width="12.0"/>
    <col customWidth="1" min="8" max="8" width="10.0"/>
    <col customWidth="1" min="9" max="11" width="12.0"/>
    <col customWidth="1" min="12" max="12" width="13.0"/>
    <col customWidth="1" min="13" max="14" width="9.0"/>
    <col customWidth="1" min="15" max="15" width="10.0"/>
    <col customWidth="1" min="16" max="16" width="11.0"/>
    <col customWidth="1" min="17" max="17" width="10.0"/>
    <col customWidth="1" min="18" max="26" width="8.71"/>
  </cols>
  <sheetData>
    <row r="1" ht="25.5" customHeight="1">
      <c r="A1" s="9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3">
      <c r="A3" s="15" t="s">
        <v>15</v>
      </c>
      <c r="D3" s="18">
        <v>2500000.0</v>
      </c>
      <c r="E3" s="21" t="s">
        <v>68</v>
      </c>
    </row>
    <row r="5" ht="33.75" customHeight="1">
      <c r="A5" s="23" t="s">
        <v>5</v>
      </c>
      <c r="B5" s="23" t="s">
        <v>88</v>
      </c>
      <c r="C5" s="23" t="s">
        <v>89</v>
      </c>
      <c r="D5" s="23" t="s">
        <v>90</v>
      </c>
      <c r="E5" s="23" t="s">
        <v>91</v>
      </c>
      <c r="F5" s="23" t="s">
        <v>92</v>
      </c>
      <c r="G5" s="23" t="s">
        <v>93</v>
      </c>
      <c r="H5" s="23" t="s">
        <v>94</v>
      </c>
      <c r="I5" s="23" t="s">
        <v>95</v>
      </c>
      <c r="J5" s="23" t="s">
        <v>96</v>
      </c>
      <c r="K5" s="23" t="s">
        <v>97</v>
      </c>
      <c r="L5" s="23" t="s">
        <v>99</v>
      </c>
      <c r="M5" s="23" t="s">
        <v>100</v>
      </c>
      <c r="N5" s="23" t="s">
        <v>101</v>
      </c>
      <c r="O5" s="23" t="s">
        <v>102</v>
      </c>
      <c r="P5" s="23" t="s">
        <v>103</v>
      </c>
      <c r="Q5" s="23" t="s">
        <v>104</v>
      </c>
    </row>
    <row r="6" ht="30.0" customHeight="1">
      <c r="A6" s="10" t="s">
        <v>13</v>
      </c>
      <c r="B6" s="28" t="s">
        <v>106</v>
      </c>
      <c r="C6" s="28" t="s">
        <v>108</v>
      </c>
      <c r="D6" s="31" t="s">
        <v>109</v>
      </c>
      <c r="E6" s="32">
        <v>2000.0</v>
      </c>
      <c r="F6" s="34">
        <v>0.11</v>
      </c>
      <c r="G6" s="37">
        <f t="shared" ref="G6:G13" si="1">E6/F6</f>
        <v>18181.81818</v>
      </c>
      <c r="H6" s="34">
        <v>0.35</v>
      </c>
      <c r="I6" s="38">
        <f t="shared" ref="I6:I13" si="2">G6/H6</f>
        <v>51948.05195</v>
      </c>
      <c r="J6" s="40">
        <f>'Matriz Scoring'!B5</f>
        <v>1100000</v>
      </c>
      <c r="K6" s="40">
        <f>'Matriz Scoring'!D5</f>
        <v>792000</v>
      </c>
      <c r="L6" s="40">
        <f>'Matriz Scoring'!F5</f>
        <v>3960000</v>
      </c>
      <c r="M6" s="43">
        <f t="shared" ref="M6:M13" si="3">I6/J6</f>
        <v>0.04722550177</v>
      </c>
      <c r="N6" s="45">
        <f t="shared" ref="N6:N13" si="4">L6/I6</f>
        <v>76.23</v>
      </c>
      <c r="O6" s="46">
        <f t="shared" ref="O6:O13" si="5">I6/K6</f>
        <v>0.06559097468</v>
      </c>
      <c r="P6" s="49">
        <f t="shared" ref="P6:P13" si="6">$D$3/I6</f>
        <v>48.125</v>
      </c>
      <c r="Q6" s="55">
        <f t="shared" ref="Q6:Q13" si="7">IF(N6&gt;=50,5,IF(N6&gt;=25,4,IF(N6&gt;=12,3,IF(N6&gt;=6,2,1))))</f>
        <v>5</v>
      </c>
    </row>
    <row r="7" ht="30.0" customHeight="1">
      <c r="A7" s="10" t="s">
        <v>142</v>
      </c>
      <c r="B7" s="28" t="s">
        <v>106</v>
      </c>
      <c r="C7" s="28" t="s">
        <v>108</v>
      </c>
      <c r="D7" s="31" t="s">
        <v>145</v>
      </c>
      <c r="E7" s="32">
        <v>2500.0</v>
      </c>
      <c r="F7" s="34">
        <v>0.11</v>
      </c>
      <c r="G7" s="37">
        <f t="shared" si="1"/>
        <v>22727.27273</v>
      </c>
      <c r="H7" s="34">
        <v>0.35</v>
      </c>
      <c r="I7" s="38">
        <f t="shared" si="2"/>
        <v>64935.06494</v>
      </c>
      <c r="J7" s="40">
        <f>'Matriz Scoring'!B6</f>
        <v>1400000</v>
      </c>
      <c r="K7" s="40">
        <f>'Matriz Scoring'!D6</f>
        <v>952000</v>
      </c>
      <c r="L7" s="40">
        <f>'Matriz Scoring'!F6</f>
        <v>1904000</v>
      </c>
      <c r="M7" s="43">
        <f t="shared" si="3"/>
        <v>0.04638218924</v>
      </c>
      <c r="N7" s="45">
        <f t="shared" si="4"/>
        <v>29.3216</v>
      </c>
      <c r="O7" s="46">
        <f t="shared" si="5"/>
        <v>0.06820910182</v>
      </c>
      <c r="P7" s="49">
        <f t="shared" si="6"/>
        <v>38.5</v>
      </c>
      <c r="Q7" s="55">
        <f t="shared" si="7"/>
        <v>4</v>
      </c>
    </row>
    <row r="8" ht="30.0" customHeight="1">
      <c r="A8" s="10" t="s">
        <v>157</v>
      </c>
      <c r="B8" s="58" t="s">
        <v>165</v>
      </c>
      <c r="C8" s="58" t="s">
        <v>166</v>
      </c>
      <c r="D8" s="31" t="s">
        <v>167</v>
      </c>
      <c r="E8" s="32">
        <v>1500.0</v>
      </c>
      <c r="F8" s="34">
        <v>0.09</v>
      </c>
      <c r="G8" s="37">
        <f t="shared" si="1"/>
        <v>16666.66667</v>
      </c>
      <c r="H8" s="34">
        <v>0.25</v>
      </c>
      <c r="I8" s="38">
        <f t="shared" si="2"/>
        <v>66666.66667</v>
      </c>
      <c r="J8" s="40">
        <f>'Matriz Scoring'!B7</f>
        <v>1150000</v>
      </c>
      <c r="K8" s="40">
        <f>'Matriz Scoring'!D7</f>
        <v>713000</v>
      </c>
      <c r="L8" s="40">
        <f>'Matriz Scoring'!F7</f>
        <v>2852000</v>
      </c>
      <c r="M8" s="43">
        <f t="shared" si="3"/>
        <v>0.05797101449</v>
      </c>
      <c r="N8" s="45">
        <f t="shared" si="4"/>
        <v>42.78</v>
      </c>
      <c r="O8" s="46">
        <f t="shared" si="5"/>
        <v>0.09350163628</v>
      </c>
      <c r="P8" s="49">
        <f t="shared" si="6"/>
        <v>37.5</v>
      </c>
      <c r="Q8" s="55">
        <f t="shared" si="7"/>
        <v>4</v>
      </c>
    </row>
    <row r="9" ht="30.0" customHeight="1">
      <c r="A9" s="10" t="s">
        <v>36</v>
      </c>
      <c r="B9" s="58" t="s">
        <v>165</v>
      </c>
      <c r="C9" s="58" t="s">
        <v>166</v>
      </c>
      <c r="D9" s="31" t="s">
        <v>167</v>
      </c>
      <c r="E9" s="32">
        <v>1200.0</v>
      </c>
      <c r="F9" s="34">
        <v>0.1</v>
      </c>
      <c r="G9" s="37">
        <f t="shared" si="1"/>
        <v>12000</v>
      </c>
      <c r="H9" s="34">
        <v>0.28</v>
      </c>
      <c r="I9" s="38">
        <f t="shared" si="2"/>
        <v>42857.14286</v>
      </c>
      <c r="J9" s="40">
        <f>'Matriz Scoring'!B8</f>
        <v>750000</v>
      </c>
      <c r="K9" s="40">
        <f>'Matriz Scoring'!D8</f>
        <v>525000</v>
      </c>
      <c r="L9" s="40">
        <f>'Matriz Scoring'!F8</f>
        <v>2625000</v>
      </c>
      <c r="M9" s="43">
        <f t="shared" si="3"/>
        <v>0.05714285714</v>
      </c>
      <c r="N9" s="45">
        <f t="shared" si="4"/>
        <v>61.25</v>
      </c>
      <c r="O9" s="46">
        <f t="shared" si="5"/>
        <v>0.08163265306</v>
      </c>
      <c r="P9" s="49">
        <f t="shared" si="6"/>
        <v>58.33333333</v>
      </c>
      <c r="Q9" s="55">
        <f t="shared" si="7"/>
        <v>5</v>
      </c>
    </row>
    <row r="10" ht="30.0" customHeight="1">
      <c r="A10" s="10" t="s">
        <v>40</v>
      </c>
      <c r="B10" s="58" t="s">
        <v>165</v>
      </c>
      <c r="C10" s="58" t="s">
        <v>166</v>
      </c>
      <c r="D10" s="31" t="s">
        <v>167</v>
      </c>
      <c r="E10" s="32">
        <v>900.0</v>
      </c>
      <c r="F10" s="34">
        <v>0.11</v>
      </c>
      <c r="G10" s="37">
        <f t="shared" si="1"/>
        <v>8181.818182</v>
      </c>
      <c r="H10" s="34">
        <v>0.3</v>
      </c>
      <c r="I10" s="38">
        <f t="shared" si="2"/>
        <v>27272.72727</v>
      </c>
      <c r="J10" s="40">
        <f>'Matriz Scoring'!B9</f>
        <v>400000</v>
      </c>
      <c r="K10" s="40">
        <f>'Matriz Scoring'!D9</f>
        <v>320000</v>
      </c>
      <c r="L10" s="40">
        <f>'Matriz Scoring'!F9</f>
        <v>1600000</v>
      </c>
      <c r="M10" s="43">
        <f t="shared" si="3"/>
        <v>0.06818181818</v>
      </c>
      <c r="N10" s="45">
        <f t="shared" si="4"/>
        <v>58.66666667</v>
      </c>
      <c r="O10" s="46">
        <f t="shared" si="5"/>
        <v>0.08522727273</v>
      </c>
      <c r="P10" s="49">
        <f t="shared" si="6"/>
        <v>91.66666667</v>
      </c>
      <c r="Q10" s="55">
        <f t="shared" si="7"/>
        <v>5</v>
      </c>
    </row>
    <row r="11" ht="30.0" customHeight="1">
      <c r="A11" s="10" t="s">
        <v>180</v>
      </c>
      <c r="B11" s="63" t="s">
        <v>205</v>
      </c>
      <c r="C11" s="63" t="s">
        <v>208</v>
      </c>
      <c r="D11" s="31" t="s">
        <v>209</v>
      </c>
      <c r="E11" s="32">
        <v>2200.0</v>
      </c>
      <c r="F11" s="34">
        <v>0.07</v>
      </c>
      <c r="G11" s="37">
        <f t="shared" si="1"/>
        <v>31428.57143</v>
      </c>
      <c r="H11" s="34">
        <v>0.12</v>
      </c>
      <c r="I11" s="38">
        <f t="shared" si="2"/>
        <v>261904.7619</v>
      </c>
      <c r="J11" s="40">
        <f>'Matriz Scoring'!B10</f>
        <v>2600000</v>
      </c>
      <c r="K11" s="40">
        <f>'Matriz Scoring'!D10</f>
        <v>1508000</v>
      </c>
      <c r="L11" s="40">
        <f>'Matriz Scoring'!F10</f>
        <v>3016000</v>
      </c>
      <c r="M11" s="43">
        <f t="shared" si="3"/>
        <v>0.1007326007</v>
      </c>
      <c r="N11" s="45">
        <f t="shared" si="4"/>
        <v>11.51563636</v>
      </c>
      <c r="O11" s="46">
        <f t="shared" si="5"/>
        <v>0.1736768978</v>
      </c>
      <c r="P11" s="49">
        <f t="shared" si="6"/>
        <v>9.545454545</v>
      </c>
      <c r="Q11" s="55">
        <f t="shared" si="7"/>
        <v>2</v>
      </c>
    </row>
    <row r="12" ht="30.0" customHeight="1">
      <c r="A12" s="10" t="s">
        <v>50</v>
      </c>
      <c r="B12" s="63" t="s">
        <v>205</v>
      </c>
      <c r="C12" s="63" t="s">
        <v>208</v>
      </c>
      <c r="D12" s="31" t="s">
        <v>227</v>
      </c>
      <c r="E12" s="32">
        <v>1800.0</v>
      </c>
      <c r="F12" s="34">
        <v>0.06</v>
      </c>
      <c r="G12" s="37">
        <f t="shared" si="1"/>
        <v>30000</v>
      </c>
      <c r="H12" s="34">
        <v>0.1</v>
      </c>
      <c r="I12" s="38">
        <f t="shared" si="2"/>
        <v>300000</v>
      </c>
      <c r="J12" s="40">
        <f>'Matriz Scoring'!B11</f>
        <v>900000</v>
      </c>
      <c r="K12" s="40">
        <f>'Matriz Scoring'!D11</f>
        <v>540000</v>
      </c>
      <c r="L12" s="40">
        <f>'Matriz Scoring'!F11</f>
        <v>2160000</v>
      </c>
      <c r="M12" s="43">
        <f t="shared" si="3"/>
        <v>0.3333333333</v>
      </c>
      <c r="N12" s="45">
        <f t="shared" si="4"/>
        <v>7.2</v>
      </c>
      <c r="O12" s="46">
        <f t="shared" si="5"/>
        <v>0.5555555556</v>
      </c>
      <c r="P12" s="49">
        <f t="shared" si="6"/>
        <v>8.333333333</v>
      </c>
      <c r="Q12" s="55">
        <f t="shared" si="7"/>
        <v>2</v>
      </c>
    </row>
    <row r="13" ht="30.0" customHeight="1">
      <c r="A13" s="72" t="s">
        <v>246</v>
      </c>
      <c r="B13" s="74" t="s">
        <v>106</v>
      </c>
      <c r="C13" s="74" t="s">
        <v>166</v>
      </c>
      <c r="D13" s="76" t="s">
        <v>253</v>
      </c>
      <c r="E13" s="78">
        <v>2000.0</v>
      </c>
      <c r="F13" s="80">
        <v>0.09</v>
      </c>
      <c r="G13" s="81">
        <f t="shared" si="1"/>
        <v>22222.22222</v>
      </c>
      <c r="H13" s="80">
        <v>0.22</v>
      </c>
      <c r="I13" s="82">
        <f t="shared" si="2"/>
        <v>101010.101</v>
      </c>
      <c r="J13" s="85">
        <f>'Matriz Scoring'!B10</f>
        <v>2600000</v>
      </c>
      <c r="K13" s="85">
        <f>'Matriz Scoring'!D10</f>
        <v>1508000</v>
      </c>
      <c r="L13" s="85">
        <f>'Matriz Scoring'!F10</f>
        <v>3016000</v>
      </c>
      <c r="M13" s="88">
        <f t="shared" si="3"/>
        <v>0.03885003885</v>
      </c>
      <c r="N13" s="89">
        <f t="shared" si="4"/>
        <v>29.8584</v>
      </c>
      <c r="O13" s="90">
        <f t="shared" si="5"/>
        <v>0.0669828256</v>
      </c>
      <c r="P13" s="91">
        <f t="shared" si="6"/>
        <v>24.75</v>
      </c>
      <c r="Q13" s="92">
        <f t="shared" si="7"/>
        <v>4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">
    <mergeCell ref="A1:Q1"/>
    <mergeCell ref="A3:C3"/>
    <mergeCell ref="E3:H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34.0"/>
    <col customWidth="1" min="3" max="3" width="15.0"/>
    <col customWidth="1" min="4" max="4" width="20.0"/>
    <col customWidth="1" min="5" max="5" width="12.0"/>
    <col customWidth="1" min="6" max="6" width="18.0"/>
    <col customWidth="1" min="7" max="7" width="40.0"/>
    <col customWidth="1" min="8" max="26" width="8.71"/>
  </cols>
  <sheetData>
    <row r="1" ht="25.5" customHeight="1">
      <c r="A1" s="1" t="s">
        <v>0</v>
      </c>
      <c r="B1" s="3"/>
      <c r="C1" s="3"/>
      <c r="D1" s="3"/>
      <c r="E1" s="3"/>
      <c r="F1" s="4"/>
      <c r="G1" s="5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9.5" customHeight="1">
      <c r="A2" s="5"/>
      <c r="B2" s="5"/>
      <c r="C2" s="5"/>
      <c r="D2" s="5"/>
      <c r="E2" s="5"/>
      <c r="F2" s="5"/>
      <c r="G2" s="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9.5" customHeight="1">
      <c r="A3" s="13" t="s">
        <v>5</v>
      </c>
      <c r="B3" s="13" t="s">
        <v>18</v>
      </c>
      <c r="C3" s="13" t="s">
        <v>19</v>
      </c>
      <c r="D3" s="13" t="s">
        <v>20</v>
      </c>
      <c r="E3" s="13" t="s">
        <v>21</v>
      </c>
      <c r="F3" s="13" t="s">
        <v>22</v>
      </c>
      <c r="G3" s="5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9.5" customHeight="1">
      <c r="A4" s="22" t="s">
        <v>31</v>
      </c>
      <c r="B4" s="24" t="s">
        <v>87</v>
      </c>
      <c r="C4" s="25">
        <v>5000.0</v>
      </c>
      <c r="D4" s="26" t="s">
        <v>98</v>
      </c>
      <c r="E4" s="27" t="s">
        <v>105</v>
      </c>
      <c r="F4" s="29" t="s">
        <v>107</v>
      </c>
      <c r="G4" s="5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9.5" customHeight="1">
      <c r="A5" s="22" t="s">
        <v>31</v>
      </c>
      <c r="B5" s="24" t="s">
        <v>111</v>
      </c>
      <c r="C5" s="35">
        <v>500.0</v>
      </c>
      <c r="D5" s="26" t="s">
        <v>98</v>
      </c>
      <c r="E5" s="27" t="s">
        <v>117</v>
      </c>
      <c r="F5" s="36"/>
      <c r="G5" s="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9.5" customHeight="1">
      <c r="A6" s="22" t="s">
        <v>31</v>
      </c>
      <c r="B6" s="24" t="s">
        <v>123</v>
      </c>
      <c r="C6" s="35">
        <v>500.0</v>
      </c>
      <c r="D6" s="26" t="s">
        <v>98</v>
      </c>
      <c r="E6" s="27" t="s">
        <v>63</v>
      </c>
      <c r="F6" s="36"/>
      <c r="G6" s="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9.5" customHeight="1">
      <c r="A7" s="22" t="s">
        <v>31</v>
      </c>
      <c r="B7" s="24" t="s">
        <v>130</v>
      </c>
      <c r="C7" s="35">
        <v>500.0</v>
      </c>
      <c r="D7" s="26" t="s">
        <v>98</v>
      </c>
      <c r="E7" s="27" t="s">
        <v>131</v>
      </c>
      <c r="F7" s="36"/>
      <c r="G7" s="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9.5" customHeight="1">
      <c r="A8" s="22" t="s">
        <v>31</v>
      </c>
      <c r="B8" s="24" t="s">
        <v>132</v>
      </c>
      <c r="C8" s="35">
        <v>500.0</v>
      </c>
      <c r="D8" s="26" t="s">
        <v>98</v>
      </c>
      <c r="E8" s="27" t="s">
        <v>63</v>
      </c>
      <c r="F8" s="36"/>
      <c r="G8" s="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9.5" customHeight="1">
      <c r="A9" s="22" t="s">
        <v>31</v>
      </c>
      <c r="B9" s="24" t="s">
        <v>133</v>
      </c>
      <c r="C9" s="42">
        <v>50.0</v>
      </c>
      <c r="D9" s="26" t="s">
        <v>98</v>
      </c>
      <c r="E9" s="27" t="s">
        <v>63</v>
      </c>
      <c r="F9" s="29" t="s">
        <v>134</v>
      </c>
      <c r="G9" s="5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9.5" customHeight="1">
      <c r="A10" s="22" t="s">
        <v>31</v>
      </c>
      <c r="B10" s="24" t="s">
        <v>135</v>
      </c>
      <c r="C10" s="42">
        <v>50.0</v>
      </c>
      <c r="D10" s="26" t="s">
        <v>98</v>
      </c>
      <c r="E10" s="27" t="s">
        <v>63</v>
      </c>
      <c r="F10" s="36"/>
      <c r="G10" s="5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9.5" customHeight="1">
      <c r="A11" s="48" t="s">
        <v>136</v>
      </c>
      <c r="B11" s="24" t="s">
        <v>137</v>
      </c>
      <c r="C11" s="25">
        <v>5000.0</v>
      </c>
      <c r="D11" s="53" t="s">
        <v>138</v>
      </c>
      <c r="E11" s="27" t="s">
        <v>139</v>
      </c>
      <c r="F11" s="29" t="s">
        <v>140</v>
      </c>
      <c r="G11" s="5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9.5" customHeight="1">
      <c r="A12" s="48" t="s">
        <v>136</v>
      </c>
      <c r="B12" s="24" t="s">
        <v>141</v>
      </c>
      <c r="C12" s="25">
        <v>5000.0</v>
      </c>
      <c r="D12" s="26" t="s">
        <v>98</v>
      </c>
      <c r="E12" s="27" t="s">
        <v>143</v>
      </c>
      <c r="F12" s="29" t="s">
        <v>144</v>
      </c>
      <c r="G12" s="5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9.5" customHeight="1">
      <c r="A13" s="48" t="s">
        <v>136</v>
      </c>
      <c r="B13" s="24" t="s">
        <v>146</v>
      </c>
      <c r="C13" s="35">
        <v>500.0</v>
      </c>
      <c r="D13" s="53" t="s">
        <v>138</v>
      </c>
      <c r="E13" s="27" t="s">
        <v>147</v>
      </c>
      <c r="F13" s="36"/>
      <c r="G13" s="5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9.5" customHeight="1">
      <c r="A14" s="48" t="s">
        <v>136</v>
      </c>
      <c r="B14" s="24" t="s">
        <v>148</v>
      </c>
      <c r="C14" s="35">
        <v>500.0</v>
      </c>
      <c r="D14" s="57" t="s">
        <v>39</v>
      </c>
      <c r="E14" s="27" t="s">
        <v>149</v>
      </c>
      <c r="F14" s="29" t="s">
        <v>150</v>
      </c>
      <c r="G14" s="5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9.5" customHeight="1">
      <c r="A15" s="48" t="s">
        <v>136</v>
      </c>
      <c r="B15" s="24" t="s">
        <v>151</v>
      </c>
      <c r="C15" s="35">
        <v>500.0</v>
      </c>
      <c r="D15" s="57" t="s">
        <v>39</v>
      </c>
      <c r="E15" s="27" t="s">
        <v>152</v>
      </c>
      <c r="F15" s="29" t="s">
        <v>153</v>
      </c>
      <c r="G15" s="5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9.5" customHeight="1">
      <c r="A16" s="48" t="s">
        <v>136</v>
      </c>
      <c r="B16" s="24" t="s">
        <v>154</v>
      </c>
      <c r="C16" s="42">
        <v>50.0</v>
      </c>
      <c r="D16" s="57" t="s">
        <v>39</v>
      </c>
      <c r="E16" s="27" t="s">
        <v>155</v>
      </c>
      <c r="F16" s="29" t="s">
        <v>156</v>
      </c>
      <c r="G16" s="5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9.5" customHeight="1">
      <c r="A17" s="48" t="s">
        <v>136</v>
      </c>
      <c r="B17" s="24" t="s">
        <v>158</v>
      </c>
      <c r="C17" s="42">
        <v>50.0</v>
      </c>
      <c r="D17" s="57" t="s">
        <v>39</v>
      </c>
      <c r="E17" s="27" t="s">
        <v>159</v>
      </c>
      <c r="F17" s="36"/>
      <c r="G17" s="5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9.5" customHeight="1">
      <c r="A18" s="48" t="s">
        <v>136</v>
      </c>
      <c r="B18" s="24" t="s">
        <v>160</v>
      </c>
      <c r="C18" s="42">
        <v>50.0</v>
      </c>
      <c r="D18" s="57" t="s">
        <v>39</v>
      </c>
      <c r="E18" s="27" t="s">
        <v>161</v>
      </c>
      <c r="F18" s="29" t="s">
        <v>162</v>
      </c>
      <c r="G18" s="5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9.5" customHeight="1">
      <c r="A19" s="48" t="s">
        <v>136</v>
      </c>
      <c r="B19" s="24" t="s">
        <v>163</v>
      </c>
      <c r="C19" s="42">
        <v>50.0</v>
      </c>
      <c r="D19" s="57" t="s">
        <v>39</v>
      </c>
      <c r="E19" s="27" t="s">
        <v>164</v>
      </c>
      <c r="F19" s="36"/>
      <c r="G19" s="5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9.5" customHeight="1">
      <c r="A20" s="22" t="s">
        <v>168</v>
      </c>
      <c r="B20" s="24" t="s">
        <v>169</v>
      </c>
      <c r="C20" s="25">
        <v>5000.0</v>
      </c>
      <c r="D20" s="26" t="s">
        <v>98</v>
      </c>
      <c r="E20" s="27" t="s">
        <v>170</v>
      </c>
      <c r="F20" s="59" t="s">
        <v>171</v>
      </c>
      <c r="G20" s="5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9.5" customHeight="1">
      <c r="A21" s="22" t="s">
        <v>168</v>
      </c>
      <c r="B21" s="24" t="s">
        <v>172</v>
      </c>
      <c r="C21" s="25">
        <v>5000.0</v>
      </c>
      <c r="D21" s="26" t="s">
        <v>98</v>
      </c>
      <c r="E21" s="27" t="s">
        <v>173</v>
      </c>
      <c r="F21" s="59" t="s">
        <v>174</v>
      </c>
      <c r="G21" s="5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9.5" customHeight="1">
      <c r="A22" s="22" t="s">
        <v>168</v>
      </c>
      <c r="B22" s="24" t="s">
        <v>175</v>
      </c>
      <c r="C22" s="35">
        <v>500.0</v>
      </c>
      <c r="D22" s="26" t="s">
        <v>98</v>
      </c>
      <c r="E22" s="27" t="s">
        <v>176</v>
      </c>
      <c r="F22" s="36"/>
      <c r="G22" s="5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9.5" customHeight="1">
      <c r="A23" s="22" t="s">
        <v>168</v>
      </c>
      <c r="B23" s="24" t="s">
        <v>177</v>
      </c>
      <c r="C23" s="35">
        <v>500.0</v>
      </c>
      <c r="D23" s="57" t="s">
        <v>39</v>
      </c>
      <c r="E23" s="27" t="s">
        <v>178</v>
      </c>
      <c r="F23" s="36"/>
      <c r="G23" s="5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9.5" customHeight="1">
      <c r="A24" s="22" t="s">
        <v>168</v>
      </c>
      <c r="B24" s="24" t="s">
        <v>179</v>
      </c>
      <c r="C24" s="35">
        <v>500.0</v>
      </c>
      <c r="D24" s="26" t="s">
        <v>98</v>
      </c>
      <c r="E24" s="27" t="s">
        <v>63</v>
      </c>
      <c r="F24" s="36"/>
      <c r="G24" s="5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9.5" customHeight="1">
      <c r="A25" s="22" t="s">
        <v>168</v>
      </c>
      <c r="B25" s="24" t="s">
        <v>181</v>
      </c>
      <c r="C25" s="35">
        <v>500.0</v>
      </c>
      <c r="D25" s="26" t="s">
        <v>98</v>
      </c>
      <c r="E25" s="27" t="s">
        <v>182</v>
      </c>
      <c r="F25" s="36"/>
      <c r="G25" s="5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9.5" customHeight="1">
      <c r="A26" s="22" t="s">
        <v>168</v>
      </c>
      <c r="B26" s="24" t="s">
        <v>183</v>
      </c>
      <c r="C26" s="35">
        <v>500.0</v>
      </c>
      <c r="D26" s="26" t="s">
        <v>98</v>
      </c>
      <c r="E26" s="27" t="s">
        <v>184</v>
      </c>
      <c r="F26" s="36"/>
      <c r="G26" s="5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9.5" customHeight="1">
      <c r="A27" s="22" t="s">
        <v>168</v>
      </c>
      <c r="B27" s="24" t="s">
        <v>185</v>
      </c>
      <c r="C27" s="35">
        <v>500.0</v>
      </c>
      <c r="D27" s="26" t="s">
        <v>98</v>
      </c>
      <c r="E27" s="27" t="s">
        <v>186</v>
      </c>
      <c r="F27" s="59" t="s">
        <v>187</v>
      </c>
      <c r="G27" s="5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9.5" customHeight="1">
      <c r="A28" s="48" t="s">
        <v>188</v>
      </c>
      <c r="B28" s="24" t="s">
        <v>189</v>
      </c>
      <c r="C28" s="35">
        <v>500.0</v>
      </c>
      <c r="D28" s="26" t="s">
        <v>98</v>
      </c>
      <c r="E28" s="27" t="s">
        <v>190</v>
      </c>
      <c r="F28" s="36"/>
      <c r="G28" s="5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9.5" customHeight="1">
      <c r="A29" s="48" t="s">
        <v>188</v>
      </c>
      <c r="B29" s="24" t="s">
        <v>191</v>
      </c>
      <c r="C29" s="35">
        <v>500.0</v>
      </c>
      <c r="D29" s="26" t="s">
        <v>98</v>
      </c>
      <c r="E29" s="27" t="s">
        <v>192</v>
      </c>
      <c r="F29" s="36"/>
      <c r="G29" s="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9.5" customHeight="1">
      <c r="A30" s="48" t="s">
        <v>188</v>
      </c>
      <c r="B30" s="24" t="s">
        <v>193</v>
      </c>
      <c r="C30" s="35">
        <v>500.0</v>
      </c>
      <c r="D30" s="57" t="s">
        <v>39</v>
      </c>
      <c r="E30" s="27" t="s">
        <v>194</v>
      </c>
      <c r="F30" s="36"/>
      <c r="G30" s="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9.5" customHeight="1">
      <c r="A31" s="48" t="s">
        <v>188</v>
      </c>
      <c r="B31" s="24" t="s">
        <v>195</v>
      </c>
      <c r="C31" s="35">
        <v>500.0</v>
      </c>
      <c r="D31" s="57" t="s">
        <v>39</v>
      </c>
      <c r="E31" s="27" t="s">
        <v>196</v>
      </c>
      <c r="F31" s="29" t="s">
        <v>197</v>
      </c>
      <c r="G31" s="5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9.5" customHeight="1">
      <c r="A32" s="48" t="s">
        <v>188</v>
      </c>
      <c r="B32" s="24" t="s">
        <v>199</v>
      </c>
      <c r="C32" s="42">
        <v>50.0</v>
      </c>
      <c r="D32" s="57" t="s">
        <v>39</v>
      </c>
      <c r="E32" s="27" t="s">
        <v>200</v>
      </c>
      <c r="F32" s="36"/>
      <c r="G32" s="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9.5" customHeight="1">
      <c r="A33" s="48" t="s">
        <v>188</v>
      </c>
      <c r="B33" s="24" t="s">
        <v>201</v>
      </c>
      <c r="C33" s="42">
        <v>50.0</v>
      </c>
      <c r="D33" s="57" t="s">
        <v>39</v>
      </c>
      <c r="E33" s="27" t="s">
        <v>202</v>
      </c>
      <c r="F33" s="36"/>
      <c r="G33" s="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9.5" customHeight="1">
      <c r="A34" s="22" t="s">
        <v>203</v>
      </c>
      <c r="B34" s="24" t="s">
        <v>204</v>
      </c>
      <c r="C34" s="25">
        <v>5000.0</v>
      </c>
      <c r="D34" s="53" t="s">
        <v>138</v>
      </c>
      <c r="E34" s="27" t="s">
        <v>206</v>
      </c>
      <c r="F34" s="29" t="s">
        <v>207</v>
      </c>
      <c r="G34" s="5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9.5" customHeight="1">
      <c r="A35" s="22" t="s">
        <v>203</v>
      </c>
      <c r="B35" s="24" t="s">
        <v>210</v>
      </c>
      <c r="C35" s="35">
        <v>500.0</v>
      </c>
      <c r="D35" s="53" t="s">
        <v>138</v>
      </c>
      <c r="E35" s="27" t="s">
        <v>211</v>
      </c>
      <c r="F35" s="29" t="s">
        <v>150</v>
      </c>
      <c r="G35" s="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9.5" customHeight="1">
      <c r="A36" s="22" t="s">
        <v>203</v>
      </c>
      <c r="B36" s="24" t="s">
        <v>216</v>
      </c>
      <c r="C36" s="35">
        <v>500.0</v>
      </c>
      <c r="D36" s="53" t="s">
        <v>138</v>
      </c>
      <c r="E36" s="27" t="s">
        <v>218</v>
      </c>
      <c r="F36" s="36"/>
      <c r="G36" s="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9.5" customHeight="1">
      <c r="A37" s="22" t="s">
        <v>203</v>
      </c>
      <c r="B37" s="24" t="s">
        <v>220</v>
      </c>
      <c r="C37" s="35">
        <v>500.0</v>
      </c>
      <c r="D37" s="53" t="s">
        <v>138</v>
      </c>
      <c r="E37" s="27" t="s">
        <v>221</v>
      </c>
      <c r="F37" s="36"/>
      <c r="G37" s="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9.5" customHeight="1">
      <c r="A38" s="22" t="s">
        <v>203</v>
      </c>
      <c r="B38" s="24" t="s">
        <v>226</v>
      </c>
      <c r="C38" s="42">
        <v>50.0</v>
      </c>
      <c r="D38" s="53" t="s">
        <v>138</v>
      </c>
      <c r="E38" s="27" t="s">
        <v>63</v>
      </c>
      <c r="F38" s="36"/>
      <c r="G38" s="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9.5" customHeight="1">
      <c r="A39" s="48" t="s">
        <v>229</v>
      </c>
      <c r="B39" s="24" t="s">
        <v>231</v>
      </c>
      <c r="C39" s="35">
        <v>500.0</v>
      </c>
      <c r="D39" s="53" t="s">
        <v>138</v>
      </c>
      <c r="E39" s="27" t="s">
        <v>232</v>
      </c>
      <c r="F39" s="36"/>
      <c r="G39" s="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9.5" customHeight="1">
      <c r="A40" s="48" t="s">
        <v>229</v>
      </c>
      <c r="B40" s="24" t="s">
        <v>236</v>
      </c>
      <c r="C40" s="35">
        <v>500.0</v>
      </c>
      <c r="D40" s="53" t="s">
        <v>138</v>
      </c>
      <c r="E40" s="27" t="s">
        <v>237</v>
      </c>
      <c r="F40" s="36"/>
      <c r="G40" s="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9.5" customHeight="1">
      <c r="A41" s="48" t="s">
        <v>229</v>
      </c>
      <c r="B41" s="24" t="s">
        <v>242</v>
      </c>
      <c r="C41" s="35">
        <v>500.0</v>
      </c>
      <c r="D41" s="53" t="s">
        <v>138</v>
      </c>
      <c r="E41" s="27" t="s">
        <v>63</v>
      </c>
      <c r="F41" s="36"/>
      <c r="G41" s="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9.5" customHeight="1">
      <c r="A42" s="48" t="s">
        <v>229</v>
      </c>
      <c r="B42" s="24" t="s">
        <v>244</v>
      </c>
      <c r="C42" s="42">
        <v>50.0</v>
      </c>
      <c r="D42" s="57" t="s">
        <v>39</v>
      </c>
      <c r="E42" s="27" t="s">
        <v>245</v>
      </c>
      <c r="F42" s="36"/>
      <c r="G42" s="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9.5" customHeight="1">
      <c r="A43" s="48" t="s">
        <v>229</v>
      </c>
      <c r="B43" s="24" t="s">
        <v>250</v>
      </c>
      <c r="C43" s="42">
        <v>50.0</v>
      </c>
      <c r="D43" s="53" t="s">
        <v>138</v>
      </c>
      <c r="E43" s="27" t="s">
        <v>251</v>
      </c>
      <c r="F43" s="29" t="s">
        <v>252</v>
      </c>
      <c r="G43" s="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9.5" customHeight="1">
      <c r="A44" s="22" t="s">
        <v>256</v>
      </c>
      <c r="B44" s="24" t="s">
        <v>257</v>
      </c>
      <c r="C44" s="25">
        <v>5000.0</v>
      </c>
      <c r="D44" s="57" t="s">
        <v>39</v>
      </c>
      <c r="E44" s="27" t="s">
        <v>258</v>
      </c>
      <c r="F44" s="29" t="s">
        <v>260</v>
      </c>
      <c r="G44" s="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9.5" customHeight="1">
      <c r="A45" s="22" t="s">
        <v>256</v>
      </c>
      <c r="B45" s="24" t="s">
        <v>263</v>
      </c>
      <c r="C45" s="42">
        <v>50.0</v>
      </c>
      <c r="D45" s="57" t="s">
        <v>39</v>
      </c>
      <c r="E45" s="27" t="s">
        <v>264</v>
      </c>
      <c r="F45" s="29" t="s">
        <v>265</v>
      </c>
      <c r="G45" s="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9.5" customHeight="1">
      <c r="A46" s="22" t="s">
        <v>256</v>
      </c>
      <c r="B46" s="24" t="s">
        <v>267</v>
      </c>
      <c r="C46" s="42">
        <v>50.0</v>
      </c>
      <c r="D46" s="53" t="s">
        <v>138</v>
      </c>
      <c r="E46" s="27" t="s">
        <v>268</v>
      </c>
      <c r="F46" s="36"/>
      <c r="G46" s="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9.5" customHeight="1">
      <c r="A47" s="48" t="s">
        <v>269</v>
      </c>
      <c r="B47" s="24" t="s">
        <v>270</v>
      </c>
      <c r="C47" s="35">
        <v>500.0</v>
      </c>
      <c r="D47" s="57" t="s">
        <v>39</v>
      </c>
      <c r="E47" s="27" t="s">
        <v>272</v>
      </c>
      <c r="F47" s="29" t="s">
        <v>273</v>
      </c>
      <c r="G47" s="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9.5" customHeight="1">
      <c r="A48" s="48" t="s">
        <v>269</v>
      </c>
      <c r="B48" s="24" t="s">
        <v>275</v>
      </c>
      <c r="C48" s="35">
        <v>500.0</v>
      </c>
      <c r="D48" s="26" t="s">
        <v>98</v>
      </c>
      <c r="E48" s="27" t="s">
        <v>276</v>
      </c>
      <c r="F48" s="29" t="s">
        <v>277</v>
      </c>
      <c r="G48" s="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9.5" customHeight="1">
      <c r="A49" s="48" t="s">
        <v>269</v>
      </c>
      <c r="B49" s="24" t="s">
        <v>280</v>
      </c>
      <c r="C49" s="42">
        <v>50.0</v>
      </c>
      <c r="D49" s="57" t="s">
        <v>39</v>
      </c>
      <c r="E49" s="27" t="s">
        <v>281</v>
      </c>
      <c r="F49" s="36"/>
      <c r="G49" s="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9.5" customHeight="1">
      <c r="A50" s="48" t="s">
        <v>269</v>
      </c>
      <c r="B50" s="24" t="s">
        <v>282</v>
      </c>
      <c r="C50" s="42">
        <v>50.0</v>
      </c>
      <c r="D50" s="26" t="s">
        <v>98</v>
      </c>
      <c r="E50" s="27" t="s">
        <v>63</v>
      </c>
      <c r="F50" s="36"/>
      <c r="G50" s="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9.5" customHeight="1">
      <c r="A51" s="22" t="s">
        <v>283</v>
      </c>
      <c r="B51" s="24" t="s">
        <v>284</v>
      </c>
      <c r="C51" s="42">
        <v>50.0</v>
      </c>
      <c r="D51" s="57" t="s">
        <v>39</v>
      </c>
      <c r="E51" s="27" t="s">
        <v>285</v>
      </c>
      <c r="F51" s="29" t="s">
        <v>286</v>
      </c>
      <c r="G51" s="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9.5" customHeight="1">
      <c r="A52" s="5"/>
      <c r="B52" s="5"/>
      <c r="C52" s="5"/>
      <c r="D52" s="5"/>
      <c r="E52" s="5"/>
      <c r="F52" s="5"/>
      <c r="G52" s="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9.5" customHeight="1">
      <c r="A53" s="5"/>
      <c r="B53" s="5"/>
      <c r="C53" s="5"/>
      <c r="D53" s="5"/>
      <c r="E53" s="5"/>
      <c r="F53" s="5"/>
      <c r="G53" s="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9.5" customHeight="1">
      <c r="A54" s="5"/>
      <c r="B54" s="5"/>
      <c r="C54" s="5"/>
      <c r="D54" s="5"/>
      <c r="E54" s="5"/>
      <c r="F54" s="5"/>
      <c r="G54" s="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9.5" customHeight="1">
      <c r="A55" s="5"/>
      <c r="B55" s="5"/>
      <c r="C55" s="5"/>
      <c r="D55" s="5"/>
      <c r="E55" s="5"/>
      <c r="F55" s="5"/>
      <c r="G55" s="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9.5" customHeight="1">
      <c r="A56" s="5"/>
      <c r="B56" s="5"/>
      <c r="C56" s="5"/>
      <c r="D56" s="5"/>
      <c r="E56" s="5"/>
      <c r="F56" s="5"/>
      <c r="G56" s="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9.5" customHeight="1">
      <c r="A57" s="5"/>
      <c r="B57" s="5"/>
      <c r="C57" s="5"/>
      <c r="D57" s="5"/>
      <c r="E57" s="5"/>
      <c r="F57" s="5"/>
      <c r="G57" s="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9.5" customHeight="1">
      <c r="A58" s="5"/>
      <c r="B58" s="5"/>
      <c r="C58" s="5"/>
      <c r="D58" s="5"/>
      <c r="E58" s="5"/>
      <c r="F58" s="5"/>
      <c r="G58" s="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9.5" customHeight="1">
      <c r="A59" s="5"/>
      <c r="B59" s="5"/>
      <c r="C59" s="5"/>
      <c r="D59" s="5"/>
      <c r="E59" s="5"/>
      <c r="F59" s="5"/>
      <c r="G59" s="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9.5" customHeight="1">
      <c r="A60" s="5"/>
      <c r="B60" s="5"/>
      <c r="C60" s="5"/>
      <c r="D60" s="5"/>
      <c r="E60" s="5"/>
      <c r="F60" s="5"/>
      <c r="G60" s="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0.0" customHeight="1">
      <c r="A62" s="5"/>
      <c r="B62" s="5"/>
      <c r="C62" s="5"/>
      <c r="D62" s="5"/>
      <c r="E62" s="5"/>
      <c r="F62" s="5"/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0.0" customHeight="1">
      <c r="A63" s="5"/>
      <c r="B63" s="5"/>
      <c r="C63" s="5"/>
      <c r="D63" s="5"/>
      <c r="E63" s="5"/>
      <c r="F63" s="5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0.0" customHeight="1">
      <c r="A64" s="5"/>
      <c r="B64" s="5"/>
      <c r="C64" s="5"/>
      <c r="D64" s="5"/>
      <c r="E64" s="5"/>
      <c r="F64" s="5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0.0" customHeight="1">
      <c r="A65" s="5"/>
      <c r="B65" s="5"/>
      <c r="C65" s="5"/>
      <c r="D65" s="5"/>
      <c r="E65" s="5"/>
      <c r="F65" s="5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0.0" customHeight="1">
      <c r="A66" s="5"/>
      <c r="B66" s="5"/>
      <c r="C66" s="5"/>
      <c r="D66" s="5"/>
      <c r="E66" s="5"/>
      <c r="F66" s="5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34.0"/>
    <col customWidth="1" min="3" max="3" width="46.0"/>
    <col customWidth="1" min="4" max="4" width="18.0"/>
    <col customWidth="1" min="5" max="5" width="30.0"/>
    <col customWidth="1" min="6" max="26" width="8.71"/>
  </cols>
  <sheetData>
    <row r="1" ht="25.5" customHeight="1">
      <c r="A1" s="1" t="s">
        <v>198</v>
      </c>
      <c r="B1" s="3"/>
      <c r="C1" s="3"/>
      <c r="D1" s="3"/>
      <c r="E1" s="4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9.5" customHeight="1">
      <c r="A3" s="13" t="s">
        <v>212</v>
      </c>
      <c r="B3" s="13" t="s">
        <v>213</v>
      </c>
      <c r="C3" s="13" t="s">
        <v>214</v>
      </c>
      <c r="D3" s="13" t="s">
        <v>215</v>
      </c>
      <c r="E3" s="13" t="s">
        <v>217</v>
      </c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54.0" customHeight="1">
      <c r="A4" s="64" t="s">
        <v>219</v>
      </c>
      <c r="B4" s="65" t="s">
        <v>222</v>
      </c>
      <c r="C4" s="65" t="s">
        <v>223</v>
      </c>
      <c r="D4" s="66" t="s">
        <v>224</v>
      </c>
      <c r="E4" s="66" t="s">
        <v>225</v>
      </c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54.0" customHeight="1">
      <c r="A5" s="67" t="s">
        <v>228</v>
      </c>
      <c r="B5" s="68" t="s">
        <v>230</v>
      </c>
      <c r="C5" s="68" t="s">
        <v>233</v>
      </c>
      <c r="D5" s="69" t="s">
        <v>234</v>
      </c>
      <c r="E5" s="69" t="s">
        <v>235</v>
      </c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54.0" customHeight="1">
      <c r="A6" s="67" t="s">
        <v>228</v>
      </c>
      <c r="B6" s="68" t="s">
        <v>238</v>
      </c>
      <c r="C6" s="68" t="s">
        <v>239</v>
      </c>
      <c r="D6" s="69" t="s">
        <v>240</v>
      </c>
      <c r="E6" s="69" t="s">
        <v>241</v>
      </c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54.0" customHeight="1">
      <c r="A7" s="70" t="s">
        <v>243</v>
      </c>
      <c r="B7" s="71" t="s">
        <v>26</v>
      </c>
      <c r="C7" s="71" t="s">
        <v>247</v>
      </c>
      <c r="D7" s="73" t="s">
        <v>248</v>
      </c>
      <c r="E7" s="73" t="s">
        <v>249</v>
      </c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54.0" customHeight="1">
      <c r="A8" s="75" t="s">
        <v>254</v>
      </c>
      <c r="B8" s="77" t="s">
        <v>255</v>
      </c>
      <c r="C8" s="77" t="s">
        <v>259</v>
      </c>
      <c r="D8" s="79" t="s">
        <v>261</v>
      </c>
      <c r="E8" s="79" t="s">
        <v>262</v>
      </c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>
      <c r="A10" s="83" t="s">
        <v>266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39.75" customHeight="1">
      <c r="A11" s="84" t="s">
        <v>271</v>
      </c>
      <c r="B11" s="86" t="s">
        <v>274</v>
      </c>
      <c r="C11" s="87"/>
      <c r="D11" s="87"/>
      <c r="E11" s="87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39.75" customHeight="1">
      <c r="A12" s="84" t="s">
        <v>278</v>
      </c>
      <c r="B12" s="86" t="s">
        <v>279</v>
      </c>
      <c r="C12" s="87"/>
      <c r="D12" s="87"/>
      <c r="E12" s="87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5.75" customHeight="1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5.75" customHeight="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5.75" customHeight="1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5.75" customHeight="1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5.75" customHeight="1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5.75" customHeight="1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5.75" customHeight="1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5.75" customHeight="1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5.75" customHeight="1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5.75" customHeight="1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5.75" customHeight="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5.75" customHeight="1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5.75" customHeight="1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5.75" customHeight="1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5.75" customHeight="1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5.75" customHeight="1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5.75" customHeight="1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5.75" customHeight="1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5.75" customHeight="1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5.75" customHeight="1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5.75" customHeight="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5.75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5.75" customHeight="1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5.75" customHeight="1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5.75" customHeight="1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5.75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5.75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5.75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5.75" customHeight="1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5.75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5.75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5.75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5.7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5.7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5.7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5.7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5.7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5.7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5.7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5.7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5.7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5.7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5.7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5.7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5.7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5.7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5.7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5.7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5.7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5.7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5.7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5.7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5.7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5.7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5.7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5.7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5.7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5.7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5.7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5.7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5.7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5.7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5.7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5.7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5.7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7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7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7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7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7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7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5.7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5.7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5.7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5.7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5.7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5.7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5.7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5.7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5.7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5.7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5.7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5.7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5.7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5.7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5.7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5.7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5.7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5.7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5.7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5.7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5.7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5.7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5.7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5.7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5.7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5.7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5.7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5.7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5.7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5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5.7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5.7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5.7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</sheetData>
  <mergeCells count="4">
    <mergeCell ref="A1:E1"/>
    <mergeCell ref="A10:C10"/>
    <mergeCell ref="B11:E11"/>
    <mergeCell ref="B12:E12"/>
  </mergeCells>
  <printOptions/>
  <pageMargins bottom="1.0" footer="0.0" header="0.0" left="0.75" right="0.75" top="1.0"/>
  <pageSetup paperSize="9" orientation="portrait"/>
  <drawing r:id="rId1"/>
</worksheet>
</file>